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cd977008f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rde" sheetId="1" r:id="R249407ad1a1e4af5"/>
    <x:sheet xmlns:r="http://schemas.openxmlformats.org/officeDocument/2006/relationships" name="Identification" sheetId="2" r:id="R37597af45af44998"/>
    <x:sheet xmlns:r="http://schemas.openxmlformats.org/officeDocument/2006/relationships" name="Sprint 1" sheetId="3" r:id="R5ada989fb5224244"/>
    <x:sheet xmlns:r="http://schemas.openxmlformats.org/officeDocument/2006/relationships" name="Burndown Sprint 1" sheetId="4" r:id="Rb0dc8020104a41ed"/>
    <x:sheet xmlns:r="http://schemas.openxmlformats.org/officeDocument/2006/relationships" name="Auto-évaluation" sheetId="5" r:id="R84b74e55a90c4867"/>
    <x:sheet xmlns:r="http://schemas.openxmlformats.org/officeDocument/2006/relationships" name="Sources" sheetId="6" r:id="Rc9b16f3be7f847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7">
    <x:font>
      <x:sz val="11"/>
      <x:color theme="1"/>
      <x:name val="Calibri"/>
    </x:font>
    <x:font>
      <x:b/>
      <x:sz val="72"/>
      <x:color rgb="FF1E1B4B"/>
    </x:font>
    <x:font>
      <x:b/>
      <x:sz val="14"/>
      <x:color rgb="FF1E1B4B"/>
    </x:font>
    <x:font>
      <x:b/>
      <x:sz val="10"/>
      <x:color rgb="FFF59E0B"/>
    </x:font>
    <x:font>
      <x:b/>
      <x:sz val="24"/>
      <x:color rgb="FF1E1B4B"/>
    </x:font>
    <x:font>
      <x:i/>
      <x:sz val="12"/>
      <x:color rgb="FF475569"/>
    </x:font>
    <x:font>
      <x:b/>
      <x:sz val="11"/>
      <x:color rgb="FF475569"/>
    </x:font>
    <x:font>
      <x:i/>
      <x:sz val="9"/>
      <x:color rgb="FF475569"/>
    </x:font>
    <x:font>
      <x:b/>
      <x:sz val="12"/>
      <x:color rgb="FFF59E0B"/>
    </x:font>
    <x:font>
      <x:i/>
      <x:sz val="10"/>
      <x:color rgb="FF475569"/>
    </x:font>
    <x:font>
      <x:b/>
      <x:color rgb="FF1E1B4B"/>
    </x:font>
    <x:font>
      <x:i/>
      <x:color rgb="FF475569"/>
    </x:font>
    <x:font>
      <x:b/>
      <x:sz val="9"/>
      <x:color rgb="FFF59E0B"/>
    </x:font>
    <x:font>
      <x:b/>
      <x:sz val="18"/>
      <x:color rgb="FF1E1B4B"/>
    </x:font>
    <x:font>
      <x:b/>
      <x:sz val="10"/>
      <x:color rgb="FF1E1B4B"/>
    </x:font>
    <x:font>
      <x:sz val="10"/>
      <x:color rgb="FF1E1B4B"/>
    </x:font>
    <x:font>
      <x:b/>
      <x:sz val="10"/>
      <x:color rgb="FF16A34A"/>
    </x:font>
    <x:font>
      <x:b/>
      <x:sz val="10"/>
      <x:color rgb="FFDC2626"/>
    </x:font>
    <x:font>
      <x:b/>
      <x:sz val="11"/>
      <x:color rgb="FFFFFFFF"/>
    </x:font>
    <x:font>
      <x:b/>
      <x:sz val="11"/>
      <x:color rgb="FF1E1B4B"/>
    </x:font>
    <x:font>
      <x:b/>
      <x:sz val="10"/>
      <x:color rgb="FF475569"/>
    </x:font>
    <x:font>
      <x:b/>
      <x:sz val="10"/>
      <x:color rgb="FFB45309"/>
    </x:font>
    <x:font>
      <x:b/>
      <x:sz val="12"/>
      <x:color rgb="FF1F4E78"/>
    </x:font>
    <x:font>
      <x:b/>
      <x:sz val="11"/>
      <x:color rgb="FF1F4E78"/>
      <x:name val="Calibri"/>
    </x:font>
    <x:font>
      <x:b/>
      <x:i/>
      <x:sz val="10"/>
      <x:color rgb="FF475569"/>
    </x:font>
    <x:font>
      <x:b/>
      <x:sz val="11"/>
      <x:color theme="1"/>
      <x:name val="Calibri"/>
    </x:font>
    <x:font>
      <x:b/>
      <x:sz val="11"/>
      <x:color rgb="FFFFFF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E1B4B"/>
      </x:patternFill>
    </x:fill>
    <x:fill>
      <x:patternFill patternType="solid">
        <x:fgColor rgb="FFEEF2FF"/>
      </x:patternFill>
    </x:fill>
    <x:fill>
      <x:patternFill patternType="solid">
        <x:fgColor rgb="FFFFFBEB"/>
      </x:patternFill>
    </x:fill>
    <x:fill>
      <x:patternFill patternType="solid">
        <x:fgColor rgb="FFFFFFFF"/>
      </x:patternFill>
    </x:fill>
    <x:fill>
      <x:patternFill patternType="solid">
        <x:fgColor rgb="FFE0E7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/>
  </x:borders>
  <x:cellStyleXfs count="1">
    <x:xf numFmtId="0" fontId="0" fillId="0" borderId="0"/>
  </x:cellStyleXfs>
  <x:cellXfs count="176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6" fillId="0" borderId="0" xfId="0"/>
    <x:xf numFmtId="0" fontId="7" fillId="0" borderId="0" xfId="0"/>
    <x:xf numFmtId="0" fontId="8" fillId="0" borderId="0" xfId="0"/>
    <x:xf numFmtId="0" fontId="9" fillId="0" borderId="0" xfId="0"/>
    <x:xf numFmtId="0" fontId="10" fillId="2" borderId="1" xfId="0"/>
    <x:xf numFmtId="0" fontId="11" fillId="0" borderId="1" xfId="0"/>
    <x:xf numFmtId="0" fontId="12" fillId="0" borderId="0" xfId="0"/>
    <x:xf numFmtId="0" fontId="13" fillId="0" borderId="0" xfId="0"/>
    <x:xf numFmtId="0" fontId="14" fillId="2" borderId="2" xfId="0"/>
    <x:xf numFmtId="0" fontId="15" fillId="0" borderId="2" xfId="0" applyAlignment="1">
      <x:alignment vertical="center" wrapText="1"/>
    </x:xf>
    <x:xf numFmtId="0" fontId="16" fillId="0" borderId="0" xfId="0"/>
    <x:xf numFmtId="0" fontId="17" fillId="0" borderId="0" xfId="0"/>
    <x:xf numFmtId="0" fontId="18" fillId="3" borderId="1" xfId="0" applyAlignment="1">
      <x:alignment horizontal="center" vertical="center" wrapText="1"/>
    </x:xf>
    <x:xf numFmtId="0" fontId="14" fillId="4" borderId="2" xfId="0" applyAlignment="1">
      <x:alignment vertical="center" wrapText="1"/>
    </x:xf>
    <x:xf numFmtId="0" fontId="15" fillId="4" borderId="2" xfId="0" applyAlignment="1">
      <x:alignment vertical="center" wrapText="1"/>
    </x:xf>
    <x:xf numFmtId="0" fontId="15" fillId="4" borderId="2" xfId="0" applyAlignment="1">
      <x:alignment horizontal="center" vertical="center"/>
    </x:xf>
    <x:xf numFmtId="0" fontId="14" fillId="5" borderId="2" xfId="0" applyAlignment="1">
      <x:alignment vertical="center" wrapText="1"/>
    </x:xf>
    <x:xf numFmtId="0" fontId="15" fillId="5" borderId="2" xfId="0" applyAlignment="1">
      <x:alignment vertical="center" wrapText="1"/>
    </x:xf>
    <x:xf numFmtId="0" fontId="15" fillId="5" borderId="2" xfId="0" applyAlignment="1">
      <x:alignment horizontal="center" vertical="center"/>
    </x:xf>
    <x:xf numFmtId="0" fontId="14" fillId="6" borderId="2" xfId="0" applyAlignment="1">
      <x:alignment vertical="center" wrapText="1"/>
    </x:xf>
    <x:xf numFmtId="0" fontId="15" fillId="6" borderId="2" xfId="0" applyAlignment="1">
      <x:alignment vertical="center" wrapText="1"/>
    </x:xf>
    <x:xf numFmtId="0" fontId="15" fillId="6" borderId="2" xfId="0" applyAlignment="1">
      <x:alignment horizontal="center" vertical="center"/>
    </x:xf>
    <x:xf numFmtId="0" fontId="19" fillId="7" borderId="2" xfId="0"/>
    <x:xf numFmtId="0" fontId="0" fillId="7" borderId="2" xfId="0"/>
    <x:xf numFmtId="0" fontId="9" fillId="7" borderId="2" xfId="0"/>
    <x:xf numFmtId="0" fontId="20" fillId="0" borderId="0" xfId="0"/>
    <x:xf numFmtId="0" fontId="21" fillId="0" borderId="0" xfId="0"/>
    <x:xf numFmtId="0" fontId="14" fillId="0" borderId="2" xfId="0" applyAlignment="1">
      <x:alignment vertical="center" wrapText="1"/>
    </x:xf>
    <x:xf numFmtId="0" fontId="15" fillId="0" borderId="2" xfId="0" applyAlignment="1">
      <x:alignment horizontal="center"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/>
    <x:xf numFmtId="0" fontId="2" fillId="0" borderId="3" xfId="0" applyNumberFormat="1" applyFont="1" applyFill="1" applyBorder="1"/>
    <x:xf numFmtId="0" fontId="3" fillId="0" borderId="3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6" fillId="0" borderId="3" xfId="0" applyNumberFormat="1" applyFont="1" applyFill="1" applyBorder="1"/>
    <x:xf numFmtId="0" fontId="7" fillId="0" borderId="3" xfId="0" applyNumberFormat="1" applyFont="1" applyFill="1" applyBorder="1"/>
    <x:xf numFmtId="0" fontId="8" fillId="0" borderId="3" xfId="0" applyNumberFormat="1" applyFont="1" applyFill="1" applyBorder="1"/>
    <x:xf numFmtId="0" fontId="9" fillId="0" borderId="3" xfId="0" applyNumberFormat="1" applyFont="1" applyFill="1" applyBorder="1"/>
    <x:xf numFmtId="0" fontId="10" fillId="2" borderId="1" xfId="0" applyNumberFormat="1" applyFont="1" applyFill="1" applyBorder="1"/>
    <x:xf numFmtId="0" fontId="11" fillId="0" borderId="1" xfId="0" applyNumberFormat="1" applyFont="1" applyFill="1" applyBorder="1"/>
    <x:xf numFmtId="0" fontId="12" fillId="0" borderId="3" xfId="0" applyNumberFormat="1" applyFont="1" applyFill="1" applyBorder="1"/>
    <x:xf numFmtId="0" fontId="13" fillId="0" borderId="3" xfId="0" applyNumberFormat="1" applyFont="1" applyFill="1" applyBorder="1"/>
    <x:xf numFmtId="0" fontId="14" fillId="2" borderId="2" xfId="0" applyNumberFormat="1" applyFont="1" applyFill="1" applyBorder="1"/>
    <x:xf numFmtId="0" fontId="15" fillId="0" borderId="2" xfId="0" applyNumberFormat="1" applyFont="1" applyFill="1" applyBorder="1" applyAlignment="1">
      <x:alignment vertical="center" wrapText="1"/>
    </x:xf>
    <x:xf numFmtId="0" fontId="16" fillId="0" borderId="3" xfId="0" applyNumberFormat="1" applyFont="1" applyFill="1" applyBorder="1"/>
    <x:xf numFmtId="0" fontId="17" fillId="0" borderId="3" xfId="0" applyNumberFormat="1" applyFont="1" applyFill="1" applyBorder="1"/>
    <x:xf numFmtId="0" fontId="18" fillId="3" borderId="1" xfId="0" applyNumberFormat="1" applyFont="1" applyFill="1" applyBorder="1" applyAlignment="1">
      <x:alignment horizontal="center" vertical="center" wrapText="1"/>
    </x:xf>
    <x:xf numFmtId="0" fontId="14" fillId="4" borderId="2" xfId="0" applyNumberFormat="1" applyFont="1" applyFill="1" applyBorder="1" applyAlignment="1">
      <x:alignment vertical="center" wrapText="1"/>
    </x:xf>
    <x:xf numFmtId="0" fontId="15" fillId="4" borderId="2" xfId="0" applyNumberFormat="1" applyFont="1" applyFill="1" applyBorder="1" applyAlignment="1">
      <x:alignment vertical="center" wrapText="1"/>
    </x:xf>
    <x:xf numFmtId="0" fontId="15" fillId="4" borderId="2" xfId="0" applyNumberFormat="1" applyFont="1" applyFill="1" applyBorder="1" applyAlignment="1">
      <x:alignment horizontal="center" vertical="center"/>
    </x:xf>
    <x:xf numFmtId="0" fontId="14" fillId="5" borderId="2" xfId="0" applyNumberFormat="1" applyFont="1" applyFill="1" applyBorder="1" applyAlignment="1">
      <x:alignment vertical="center" wrapText="1"/>
    </x:xf>
    <x:xf numFmtId="0" fontId="15" fillId="5" borderId="2" xfId="0" applyNumberFormat="1" applyFont="1" applyFill="1" applyBorder="1" applyAlignment="1">
      <x:alignment vertical="center" wrapText="1"/>
    </x:xf>
    <x:xf numFmtId="0" fontId="15" fillId="5" borderId="2" xfId="0" applyNumberFormat="1" applyFont="1" applyFill="1" applyBorder="1" applyAlignment="1">
      <x:alignment horizontal="center" vertical="center"/>
    </x:xf>
    <x:xf numFmtId="0" fontId="14" fillId="6" borderId="2" xfId="0" applyNumberFormat="1" applyFont="1" applyFill="1" applyBorder="1" applyAlignment="1">
      <x:alignment vertical="center" wrapText="1"/>
    </x:xf>
    <x:xf numFmtId="0" fontId="15" fillId="6" borderId="2" xfId="0" applyNumberFormat="1" applyFont="1" applyFill="1" applyBorder="1" applyAlignment="1">
      <x:alignment vertical="center" wrapText="1"/>
    </x:xf>
    <x:xf numFmtId="0" fontId="15" fillId="6" borderId="2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/>
    <x:xf numFmtId="0" fontId="0" fillId="7" borderId="2" xfId="0" applyNumberFormat="1" applyFont="1" applyFill="1" applyBorder="1"/>
    <x:xf numFmtId="0" fontId="9" fillId="7" borderId="2" xfId="0" applyNumberFormat="1" applyFont="1" applyFill="1" applyBorder="1"/>
    <x:xf numFmtId="0" fontId="20" fillId="0" borderId="3" xfId="0" applyNumberFormat="1" applyFont="1" applyFill="1" applyBorder="1"/>
    <x:xf numFmtId="0" fontId="21" fillId="0" borderId="3" xfId="0" applyNumberFormat="1" applyFont="1" applyFill="1" applyBorder="1"/>
    <x:xf numFmtId="0" fontId="14" fillId="0" borderId="2" xfId="0" applyNumberFormat="1" applyFont="1" applyFill="1" applyBorder="1" applyAlignment="1">
      <x:alignment vertical="center" wrapText="1"/>
    </x:xf>
    <x:xf numFmtId="0" fontId="15" fillId="0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wrapText="1"/>
    </x:xf>
    <x:xf numFmtId="0" fontId="22" fillId="0" borderId="0" xfId="0" applyNumberFormat="1" applyFont="1" applyFill="1" applyBorder="1"/>
    <x:xf numFmtId="0" fontId="23" fillId="0" borderId="0" xfId="0" applyNumberFormat="1" applyFont="1" applyFill="1" applyBorder="1"/>
    <x:xf numFmtId="0" fontId="22" fillId="0" borderId="3" xfId="0" applyNumberFormat="1" applyFont="1" applyFill="1" applyBorder="1"/>
    <x:xf numFmtId="0" fontId="23" fillId="0" borderId="3" xfId="0" applyNumberFormat="1" applyFont="1" applyFill="1" applyBorder="1"/>
    <x:xf numFmtId="0" fontId="18" fillId="8" borderId="1" xfId="0" applyNumberFormat="1" applyFont="1" applyFill="1" applyBorder="1" applyAlignment="1">
      <x:alignment horizontal="center" vertical="center" wrapText="1"/>
    </x:xf>
    <x:xf numFmtId="0" fontId="15" fillId="4" borderId="2" xfId="0" applyNumberFormat="1" applyFont="1" applyFill="1" applyBorder="1" applyAlignment="1">
      <x:alignment horizontal="center" vertical="center" wrapText="1"/>
    </x:xf>
    <x:xf numFmtId="0" fontId="15" fillId="5" borderId="2" xfId="0" applyNumberFormat="1" applyFont="1" applyFill="1" applyBorder="1" applyAlignment="1">
      <x:alignment horizontal="center" vertical="center" wrapText="1"/>
    </x:xf>
    <x:xf numFmtId="0" fontId="15" fillId="6" borderId="2" xfId="0" applyNumberFormat="1" applyFont="1" applyFill="1" applyBorder="1" applyAlignment="1">
      <x:alignment horizontal="center" vertical="center" wrapText="1"/>
    </x:xf>
    <x:xf numFmtId="0" fontId="19" fillId="7" borderId="2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0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21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20" fillId="0" borderId="3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21" fillId="0" borderId="3" xfId="0" applyNumberFormat="1" applyFont="1" applyFill="1" applyBorder="1" applyAlignment="1">
      <x:alignment wrapText="1"/>
    </x:xf>
    <x:xf numFmtId="0" fontId="18" fillId="8" borderId="1" xfId="0" applyNumberFormat="1" applyFont="1" applyFill="1" applyBorder="1" applyAlignment="1">
      <x:alignment horizontal="center" vertical="top" wrapText="1"/>
    </x:xf>
    <x:xf numFmtId="0" fontId="14" fillId="4" borderId="2" xfId="0" applyNumberFormat="1" applyFont="1" applyFill="1" applyBorder="1" applyAlignment="1">
      <x:alignment vertical="top" wrapText="1"/>
    </x:xf>
    <x:xf numFmtId="0" fontId="15" fillId="4" borderId="2" xfId="0" applyNumberFormat="1" applyFont="1" applyFill="1" applyBorder="1" applyAlignment="1">
      <x:alignment vertical="top" wrapText="1"/>
    </x:xf>
    <x:xf numFmtId="0" fontId="15" fillId="4" borderId="2" xfId="0" applyNumberFormat="1" applyFont="1" applyFill="1" applyBorder="1" applyAlignment="1">
      <x:alignment horizontal="center" vertical="top" wrapText="1"/>
    </x:xf>
    <x:xf numFmtId="0" fontId="14" fillId="5" borderId="2" xfId="0" applyNumberFormat="1" applyFont="1" applyFill="1" applyBorder="1" applyAlignment="1">
      <x:alignment vertical="top" wrapText="1"/>
    </x:xf>
    <x:xf numFmtId="0" fontId="15" fillId="5" borderId="2" xfId="0" applyNumberFormat="1" applyFont="1" applyFill="1" applyBorder="1" applyAlignment="1">
      <x:alignment vertical="top" wrapText="1"/>
    </x:xf>
    <x:xf numFmtId="0" fontId="15" fillId="5" borderId="2" xfId="0" applyNumberFormat="1" applyFont="1" applyFill="1" applyBorder="1" applyAlignment="1">
      <x:alignment horizontal="center" vertical="top" wrapText="1"/>
    </x:xf>
    <x:xf numFmtId="0" fontId="14" fillId="6" borderId="2" xfId="0" applyNumberFormat="1" applyFont="1" applyFill="1" applyBorder="1" applyAlignment="1">
      <x:alignment vertical="top" wrapText="1"/>
    </x:xf>
    <x:xf numFmtId="0" fontId="15" fillId="6" borderId="2" xfId="0" applyNumberFormat="1" applyFont="1" applyFill="1" applyBorder="1" applyAlignment="1">
      <x:alignment vertical="top" wrapText="1"/>
    </x:xf>
    <x:xf numFmtId="0" fontId="15" fillId="6" borderId="2" xfId="0" applyNumberFormat="1" applyFont="1" applyFill="1" applyBorder="1" applyAlignment="1">
      <x:alignment horizontal="center" vertical="top" wrapText="1"/>
    </x:xf>
    <x:xf numFmtId="0" fontId="19" fillId="7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9" fillId="7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0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20" fillId="0" borderId="3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21" fillId="0" borderId="3" xfId="0" applyNumberFormat="1" applyFont="1" applyFill="1" applyBorder="1" applyAlignment="1">
      <x:alignment vertical="top" wrapText="1"/>
    </x:xf>
    <x:xf numFmtId="0" fontId="16" fillId="9" borderId="0" xfId="0" applyNumberFormat="1" applyFont="1" applyFill="1" applyBorder="1"/>
    <x:xf numFmtId="0" fontId="9" fillId="9" borderId="0" xfId="0" applyNumberFormat="1" applyFont="1" applyFill="1" applyBorder="1"/>
    <x:xf numFmtId="0" fontId="0" fillId="9" borderId="0" xfId="0" applyNumberFormat="1" applyFont="1" applyFill="1" applyBorder="1"/>
    <x:xf numFmtId="0" fontId="24" fillId="9" borderId="0" xfId="0" applyNumberFormat="1" applyFont="1" applyFill="1" applyBorder="1"/>
    <x:xf numFmtId="0" fontId="25" fillId="9" borderId="0" xfId="0" applyNumberFormat="1" applyFont="1" applyFill="1" applyBorder="1"/>
    <x:xf numFmtId="0" fontId="16" fillId="9" borderId="0" xfId="0" applyNumberFormat="1" applyFont="1" applyFill="1" applyBorder="1" applyAlignment="1">
      <x:alignment horizontal="center"/>
    </x:xf>
    <x:xf numFmtId="0" fontId="24" fillId="9" borderId="0" xfId="0" applyNumberFormat="1" applyFont="1" applyFill="1" applyBorder="1" applyAlignment="1">
      <x:alignment horizontal="center"/>
    </x:xf>
    <x:xf numFmtId="0" fontId="25" fillId="9" borderId="0" xfId="0" applyNumberFormat="1" applyFont="1" applyFill="1" applyBorder="1" applyAlignment="1">
      <x:alignment horizontal="center"/>
    </x:xf>
    <x:xf numFmtId="0" fontId="16" fillId="9" borderId="0" xfId="0" applyNumberFormat="1" applyFont="1" applyFill="1" applyBorder="1" applyAlignment="1">
      <x:alignment horizontal="center" vertical="center"/>
    </x:xf>
    <x:xf numFmtId="0" fontId="24" fillId="9" borderId="0" xfId="0" applyNumberFormat="1" applyFont="1" applyFill="1" applyBorder="1" applyAlignment="1">
      <x:alignment horizontal="center" vertical="center"/>
    </x:xf>
    <x:xf numFmtId="0" fontId="25" fillId="9" borderId="0" xfId="0" applyNumberFormat="1" applyFont="1" applyFill="1" applyBorder="1" applyAlignment="1">
      <x:alignment horizontal="center" vertical="center"/>
    </x:xf>
    <x:xf numFmtId="0" fontId="16" fillId="9" borderId="3" xfId="0" applyNumberFormat="1" applyFont="1" applyFill="1" applyBorder="1"/>
    <x:xf numFmtId="0" fontId="9" fillId="9" borderId="3" xfId="0" applyNumberFormat="1" applyFont="1" applyFill="1" applyBorder="1"/>
    <x:xf numFmtId="0" fontId="0" fillId="9" borderId="3" xfId="0" applyNumberFormat="1" applyFont="1" applyFill="1" applyBorder="1"/>
    <x:xf numFmtId="0" fontId="24" fillId="9" borderId="3" xfId="0" applyNumberFormat="1" applyFont="1" applyFill="1" applyBorder="1"/>
    <x:xf numFmtId="0" fontId="25" fillId="9" borderId="3" xfId="0" applyNumberFormat="1" applyFont="1" applyFill="1" applyBorder="1"/>
    <x:xf numFmtId="0" fontId="16" fillId="9" borderId="3" xfId="0" applyNumberFormat="1" applyFont="1" applyFill="1" applyBorder="1" applyAlignment="1">
      <x:alignment horizontal="center"/>
    </x:xf>
    <x:xf numFmtId="0" fontId="24" fillId="9" borderId="3" xfId="0" applyNumberFormat="1" applyFont="1" applyFill="1" applyBorder="1" applyAlignment="1">
      <x:alignment horizontal="center"/>
    </x:xf>
    <x:xf numFmtId="0" fontId="25" fillId="9" borderId="3" xfId="0" applyNumberFormat="1" applyFont="1" applyFill="1" applyBorder="1" applyAlignment="1">
      <x:alignment horizontal="center"/>
    </x:xf>
    <x:xf numFmtId="0" fontId="16" fillId="9" borderId="3" xfId="0" applyNumberFormat="1" applyFont="1" applyFill="1" applyBorder="1" applyAlignment="1">
      <x:alignment horizontal="center" vertical="center"/>
    </x:xf>
    <x:xf numFmtId="0" fontId="24" fillId="9" borderId="3" xfId="0" applyNumberFormat="1" applyFont="1" applyFill="1" applyBorder="1" applyAlignment="1">
      <x:alignment horizontal="center" vertical="center"/>
    </x:xf>
    <x:xf numFmtId="0" fontId="25" fillId="9" borderId="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6" fillId="8" borderId="0" xfId="0" applyNumberFormat="1" applyFont="1" applyFill="1" applyBorder="1"/>
    <x:xf numFmtId="0" fontId="26" fillId="8" borderId="0" xfId="0" applyNumberFormat="1" applyFont="1" applyFill="1" applyBorder="1" applyAlignment="1">
      <x:alignment horizontal="center"/>
    </x:xf>
    <x:xf numFmtId="0" fontId="26" fillId="8" borderId="0" xfId="0" applyNumberFormat="1" applyFont="1" applyFill="1" applyBorder="1" applyAlignment="1">
      <x:alignment horizontal="center" vertical="center"/>
    </x:xf>
    <x:xf numFmtId="0" fontId="0" fillId="8" borderId="3" xfId="0" applyNumberFormat="1" applyFont="1" applyFill="1" applyBorder="1"/>
    <x:xf numFmtId="0" fontId="26" fillId="8" borderId="3" xfId="0" applyNumberFormat="1" applyFont="1" applyFill="1" applyBorder="1"/>
    <x:xf numFmtId="0" fontId="26" fillId="8" borderId="3" xfId="0" applyNumberFormat="1" applyFont="1" applyFill="1" applyBorder="1" applyAlignment="1">
      <x:alignment horizontal="center"/>
    </x:xf>
    <x:xf numFmtId="0" fontId="26" fillId="8" borderId="3" xfId="0" applyNumberFormat="1" applyFont="1" applyFill="1" applyBorder="1" applyAlignment="1">
      <x:alignment horizontal="center" vertical="center"/>
    </x:xf>
    <x:xf numFmtId="0" fontId="15" fillId="0" borderId="2" xfId="0" applyNumberFormat="1" applyFont="1" applyFill="1" applyBorder="1" applyAlignment="1">
      <x:alignment horizontal="center" vertical="center" wrapText="1"/>
    </x:xf>
    <x:xf numFmtId="0" fontId="14" fillId="0" borderId="2" xfId="0" applyNumberFormat="1" applyFont="1" applyFill="1" applyBorder="1" applyAlignment="1">
      <x:alignment vertical="top" wrapText="1"/>
    </x:xf>
    <x:xf numFmtId="0" fontId="15" fillId="0" borderId="2" xfId="0" applyNumberFormat="1" applyFont="1" applyFill="1" applyBorder="1" applyAlignment="1">
      <x:alignment horizontal="center" vertical="top" wrapText="1"/>
    </x:xf>
    <x:xf numFmtId="0" fontId="15" fillId="0" borderId="2" xfId="0" applyNumberFormat="1" applyFont="1" applyFill="1" applyBorder="1" applyAlignment="1">
      <x:alignment vertical="top" wrapText="1"/>
    </x:xf>
    <x:xf numFmtId="0" fontId="26" fillId="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6" fillId="0" borderId="0" xfId="0" applyNumberFormat="1" applyFont="1" applyFill="1" applyBorder="1"/>
    <x:xf numFmtId="0" fontId="17" fillId="0" borderId="0" xfId="0" applyNumberFormat="1" applyFont="1" applyFill="1" applyBorder="1"/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14" fillId="2" borderId="2" xfId="0" applyNumberFormat="1" applyFont="1" applyFill="1" applyBorder="1" applyAlignment="1">
      <x:alignment wrapText="1"/>
    </x:xf>
    <x:xf numFmtId="0" fontId="16" fillId="9" borderId="0" xfId="0" applyNumberFormat="1" applyFont="1" applyFill="1" applyBorder="1" applyAlignment="1">
      <x:alignment horizontal="center" vertical="center" wrapText="1"/>
    </x:xf>
    <x:xf numFmtId="0" fontId="24" fillId="9" borderId="0" xfId="0" applyNumberFormat="1" applyFont="1" applyFill="1" applyBorder="1" applyAlignment="1">
      <x:alignment horizontal="center" vertical="center" wrapText="1"/>
    </x:xf>
    <x:xf numFmtId="0" fontId="25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c2a36f6544a3e" /><Relationship Type="http://schemas.openxmlformats.org/officeDocument/2006/relationships/theme" Target="/xl/theme/theme1.xml" Id="R23d6f2bb855d4e4d" /><Relationship Type="http://schemas.openxmlformats.org/officeDocument/2006/relationships/sharedStrings" Target="/xl/sharedStrings.xml" Id="R6b36142cad8a4e7c" /><Relationship Type="http://schemas.openxmlformats.org/officeDocument/2006/relationships/worksheet" Target="/xl/worksheets/sheet1.xml" Id="R249407ad1a1e4af5" /><Relationship Type="http://schemas.openxmlformats.org/officeDocument/2006/relationships/worksheet" Target="/xl/worksheets/sheet2.xml" Id="R37597af45af44998" /><Relationship Type="http://schemas.openxmlformats.org/officeDocument/2006/relationships/worksheet" Target="/xl/worksheets/sheet3.xml" Id="R5ada989fb5224244" /><Relationship Type="http://schemas.openxmlformats.org/officeDocument/2006/relationships/worksheet" Target="/xl/worksheets/sheet4.xml" Id="Rb0dc8020104a41ed" /><Relationship Type="http://schemas.openxmlformats.org/officeDocument/2006/relationships/worksheet" Target="/xl/worksheets/sheet5.xml" Id="R84b74e55a90c4867" /><Relationship Type="http://schemas.openxmlformats.org/officeDocument/2006/relationships/worksheet" Target="/xl/worksheets/sheet6.xml" Id="Rc9b16f3be7f847c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customWidth="1"/>
    <x:col min="2" max="2" width="90" customWidth="1"/>
  </x:cols>
  <x:sheetData>
    <x:row r="2">
      <x:c r="B2" s="1" t="inlineStr">
        <x:is>
          <x:t xml:space="preserve">A</x:t>
        </x:is>
      </x:c>
    </x:row>
    <x:row r="4">
      <x:c r="B4" s="2" t="inlineStr">
        <x:is>
          <x:t xml:space="preserve">APOCAL'IPSSI</x:t>
        </x:is>
      </x:c>
    </x:row>
    <x:row r="8">
      <x:c r="B8" s="3" t="inlineStr">
        <x:is>
          <x:t xml:space="preserve">CADRAGE MATINAL · ARTEFACT 7 SUR 7</x:t>
        </x:is>
      </x:c>
    </x:row>
    <x:row r="10">
      <x:c r="B10" s="4" t="inlineStr">
        <x:is>
          <x:t xml:space="preserve">Sprint Backlog</x:t>
        </x:is>
      </x:c>
    </x:row>
    <x:row r="12">
      <x:c r="B12" s="5" t="inlineStr">
        <x:is>
          <x:t xml:space="preserve">Décomposition technique du Sprint 1 d'EduTutor IA (lundi 14h-18h)</x:t>
        </x:is>
      </x:c>
    </x:row>
    <x:row r="20">
      <x:c r="B20" s="6" t="inlineStr">
        <x:is>
          <x:t xml:space="preserve">Projet EduTutor IA · Édition 2026 · Semaine immersive Scrum</x:t>
        </x:is>
      </x:c>
    </x:row>
    <x:row r="21">
      <x:c r="B21" s="7" t="inlineStr">
        <x:is>
          <x:t xml:space="preserve">Auteur : Mohamed Amine EL AFRIT · Licence CC BY-NC-SA 4.0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customWidth="1"/>
    <x:col min="2" max="2" width="31.3799991607666" hidden="0" customWidth="1"/>
    <x:col min="3" max="3" width="73.5" hidden="0" customWidth="1"/>
  </x:cols>
  <x:sheetData>
    <x:row r="2">
      <x:c r="B2" s="75" t="inlineStr">
        <x:is>
          <x:t xml:space="preserve">IDENTIFICATION DU DOCUMENT</x:t>
        </x:is>
      </x:c>
      <x:c r="C2" s="76"/>
    </x:row>
    <x:row r="3">
      <x:c r="B3" s="9" t="inlineStr">
        <x:is>
          <x:t xml:space="preserve">À compléter par l'équipe avant chaque remise</x:t>
        </x:is>
      </x:c>
    </x:row>
    <x:row r="5" ht="22" customHeight="1">
      <x:c r="B5" s="47" t="str">
        <x:v>Équipe n°</x:v>
      </x:c>
      <x:c r="C5" s="74" t="str">
        <x:v>18</x:v>
      </x:c>
    </x:row>
    <x:row r="6" ht="22" customHeight="1">
      <x:c r="B6" s="47" t="str">
        <x:v>Membres</x:v>
      </x:c>
      <x:c r="C6" s="74" t="str">
        <x:v>Mouhamed SARR, Evan MARTIN, Quentin CHASTEL, Maxime DANINO, Mell CANAC, Meddy GARCIA</x:v>
      </x:c>
    </x:row>
    <x:row r="7" ht="22" customHeight="1">
      <x:c r="B7" s="47" t="str">
        <x:v>Sprint concerné</x:v>
      </x:c>
      <x:c r="C7" s="74" t="str">
        <x:v>Sprint 1 · J2 · post-perturbations J1 produit + J2 technique</x:v>
      </x:c>
    </x:row>
    <x:row r="8" ht="22" customHeight="1">
      <x:c r="B8" s="47" t="str">
        <x:v>Version</x:v>
      </x:c>
      <x:c r="C8" s="74" t="str">
        <x:v>v2.2 (Sprint 1 mis à jour J2 · re-estimation technique)</x:v>
      </x:c>
    </x:row>
    <x:row r="9" ht="22" customHeight="1">
      <x:c r="B9" s="47" t="str">
        <x:v>Date de remise</x:v>
      </x:c>
      <x:c r="C9" s="74" t="str">
        <x:v>30/06/2026 12h00</x:v>
      </x:c>
    </x:row>
    <x:row r="10" ht="22" customHeight="1">
      <x:c r="B10" s="47" t="str">
        <x:v>Statut</x:v>
      </x:c>
      <x:c r="C10" s="74" t="str">
        <x:v>En revue PO</x:v>
      </x:c>
    </x:row>
    <x:row r="12">
      <x:c r="B12" s="12" t="str">
        <x:v>💡 Convention de nommage du fichier :</x:v>
      </x:c>
      <x:c r="C12"/>
    </x:row>
    <x:row r="13">
      <x:c r="B13" s="7" t="str">
        <x:v>equipe-18-sprint-backlog-sprint-1-v2.2.xlsx</x:v>
      </x:c>
      <x:c r="C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hidden="0" customWidth="1"/>
    <x:col min="2" max="2" width="30" hidden="0" customWidth="1"/>
    <x:col min="3" max="3" width="66" hidden="0" customWidth="1"/>
    <x:col min="4" max="4" width="16" hidden="0" customWidth="1"/>
    <x:col min="5" max="5" width="12" hidden="0" customWidth="1"/>
    <x:col min="6" max="6" width="12" hidden="0" customWidth="1"/>
    <x:col min="7" max="7" width="14" hidden="0" customWidth="1"/>
  </x:cols>
  <x:sheetData>
    <x:row r="1">
      <x:c r="A1" s="13" t="str">
        <x:v>SPRINT BACKLOG : SPRINT 1 — Équipe 18</x:v>
      </x:c>
    </x:row>
    <x:row r="2">
      <x:c r="A2" s="9" t="str">
        <x:v>Mardi 30/06/2026 · Sprint 1 de rattrapage · J1 intégré + J2 technique absorbé dans le sprint</x:v>
      </x:c>
    </x:row>
    <x:row r="4">
      <x:c r="A4" s="8" t="inlineStr">
        <x:is>
          <x:t xml:space="preserve">📋 MÉTADONNÉES DU SPRINT</x:t>
        </x:is>
      </x:c>
    </x:row>
    <x:row r="5" ht="22" customHeight="1">
      <x:c r="A5" s="172" t="str">
        <x:v>Numéro de sprint</x:v>
      </x:c>
      <x:c r="B5" s="52" t="str">
        <x:v>Sprint 1</x:v>
      </x:c>
    </x:row>
    <x:row r="6" ht="22" customHeight="1">
      <x:c r="A6" s="172" t="str">
        <x:v>Date</x:v>
      </x:c>
      <x:c r="B6" s="52" t="str">
        <x:v>Mardi 30/06/2026, 14h-18h</x:v>
      </x:c>
    </x:row>
    <x:row r="7" ht="22" customHeight="1">
      <x:c r="A7" s="172" t="str">
        <x:v>Équipe (n personnes)</x:v>
      </x:c>
      <x:c r="B7" s="52" t="str">
        <x:v>6 personnes</x:v>
      </x:c>
    </x:row>
    <x:row r="8" ht="22" customHeight="1">
      <x:c r="A8" s="172" t="str">
        <x:v>Capacité totale</x:v>
      </x:c>
      <x:c r="B8" s="52" t="str">
        <x:v>24 h-pers</x:v>
      </x:c>
    </x:row>
    <x:row r="9" ht="22" customHeight="1">
      <x:c r="A9" s="172" t="str">
        <x:v>Vélocité cible (SP)</x:v>
      </x:c>
      <x:c r="B9" s="52" t="str">
        <x:v>10-12 SP + J2</x:v>
      </x:c>
    </x:row>
    <x:row r="10" ht="22" customHeight="1">
      <x:c r="A10" s="172" t="str">
        <x:v>Objectif sprint</x:v>
      </x:c>
      <x:c r="B10" s="52" t="str">
        <x:v>Benchmark+ADR J2, p95 ≤ 15 s, démarrer inscription/upload</x:v>
      </x:c>
    </x:row>
    <x:row r="11" ht="22" customHeight="1">
      <x:c r="A11" s="172" t="str">
        <x:v>Scrum Master</x:v>
      </x:c>
      <x:c r="B11" s="52" t="str">
        <x:v>À désigner</x:v>
      </x:c>
    </x:row>
    <x:row r="12" ht="22" customHeight="1">
      <x:c r="A12" s="172" t="str">
        <x:v>Product Owner</x:v>
      </x:c>
      <x:c r="B12" s="52" t="str">
        <x:v>Mohamed EL AFRIT / PO</x:v>
      </x:c>
    </x:row>
    <x:row r="14">
      <x:c r="A14" s="3" t="inlineStr">
        <x:is>
          <x:t xml:space="preserve">💡 OBJECTIF</x:t>
        </x:is>
      </x:c>
      <x:c r="B14" s="9" t="inlineStr">
        <x:is>
          <x:t xml:space="preserve">Décomposer chaque story tirée du Product Backlog en tâches techniques fines (1-3h), avec assignation et estimation. Mis à jour en daily.</x:t>
        </x:is>
      </x:c>
    </x:row>
    <x:row r="15">
      <x:c r="A15" s="3" t="inlineStr">
        <x:is>
          <x:t xml:space="preserve">📐 FORMAT</x:t>
        </x:is>
      </x:c>
      <x:c r="B15" s="9" t="inlineStr">
        <x:is>
          <x:t xml:space="preserve">3 à 5 tâches par user story. Estimation en heures (pas SP, trop grossier pour 1 sprint court). Restant mis à jour à chaque daily.</x:t>
        </x:is>
      </x:c>
    </x:row>
    <x:row r="16">
      <x:c r="A16" s="16" t="inlineStr">
        <x:is>
          <x:t xml:space="preserve">✅ BON</x:t>
        </x:is>
      </x:c>
      <x:c r="B16" s="9" t="inlineStr">
        <x:is>
          <x:t xml:space="preserve">« T-01.2 Endpoint POST /api/signup avec validation email + mdp ≥ 8 car · Assigné : Léa · Estim 2h »</x:t>
        </x:is>
      </x:c>
    </x:row>
    <x:row r="17">
      <x:c r="A17" s="17" t="inlineStr">
        <x:is>
          <x:t xml:space="preserve">❌ À ÉVITER</x:t>
        </x:is>
      </x:c>
      <x:c r="B17" s="9" t="inlineStr">
        <x:is>
          <x:t xml:space="preserve">« Faire l'inscription » (pas de tâche atomique, ni assigné, ni estimable)</x:t>
        </x:is>
      </x:c>
    </x:row>
    <x:row r="19" ht="15" hidden="0" customHeight="1">
      <x:c r="A19" s="96" t="str">
        <x:v>US</x:v>
      </x:c>
      <x:c r="B19" s="96" t="str">
        <x:v>ID tâche</x:v>
      </x:c>
      <x:c r="C19" s="96" t="str">
        <x:v>Tâche technique</x:v>
      </x:c>
      <x:c r="D19" s="96" t="str">
        <x:v>Assigné</x:v>
      </x:c>
      <x:c r="E19" s="96" t="str">
        <x:v>Estim. (h)</x:v>
      </x:c>
      <x:c r="F19" s="96" t="str">
        <x:v>Restant (h)</x:v>
      </x:c>
      <x:c r="G19" s="96" t="str">
        <x:v>Statut</x:v>
      </x:c>
    </x:row>
    <x:row r="20" ht="24" hidden="0" customHeight="1">
      <x:c r="A20" s="97" t="str">
        <x:v>US-12</x:v>
      </x:c>
      <x:c r="B20" s="97" t="str">
        <x:v>T-12.1</x:v>
      </x:c>
      <x:c r="C20" s="98" t="str">
        <x:v>Définir protocole benchmark : même cours, même machine, 5 runs × 3 modèles, métriques p50/p95</x:v>
      </x:c>
      <x:c r="D20" s="98" t="str">
        <x:v>Mouhamed</x:v>
      </x:c>
      <x:c r="E20" s="99" t="n">
        <x:v>1</x:v>
      </x:c>
      <x:c r="F20" s="99" t="n">
        <x:v>1</x:v>
      </x:c>
      <x:c r="G20" s="98" t="str">
        <x:v>Todo</x:v>
      </x:c>
    </x:row>
    <x:row r="21" ht="24" hidden="0" customHeight="1">
      <x:c r="A21" s="97" t="str">
        <x:v>US-12</x:v>
      </x:c>
      <x:c r="B21" s="97" t="str">
        <x:v>T-12.2</x:v>
      </x:c>
      <x:c r="C21" s="98" t="str">
        <x:v>Préparer cours de référence algorithmie + script benchmark curl/time automatisé</x:v>
      </x:c>
      <x:c r="D21" s="98" t="str">
        <x:v>Evan</x:v>
      </x:c>
      <x:c r="E21" s="99" t="n">
        <x:v>2</x:v>
      </x:c>
      <x:c r="F21" s="99" t="n">
        <x:v>2</x:v>
      </x:c>
      <x:c r="G21" s="98" t="str">
        <x:v>Todo</x:v>
      </x:c>
    </x:row>
    <x:row r="22" ht="24" hidden="0" customHeight="1">
      <x:c r="A22" s="97" t="str">
        <x:v>US-12</x:v>
      </x:c>
      <x:c r="B22" s="97" t="str">
        <x:v>T-12.3</x:v>
      </x:c>
      <x:c r="C22" s="98" t="str">
        <x:v>Exécuter mesures Llama 3.1 8B, Phi-3-mini, Llama 3.2 3B et collecter temps bruts</x:v>
      </x:c>
      <x:c r="D22" s="98" t="str">
        <x:v>Maxime</x:v>
      </x:c>
      <x:c r="E22" s="99" t="n">
        <x:v>2.5</x:v>
      </x:c>
      <x:c r="F22" s="99" t="n">
        <x:v>2.5</x:v>
      </x:c>
      <x:c r="G22" s="98" t="str">
        <x:v>Todo</x:v>
      </x:c>
    </x:row>
    <x:row r="23" ht="24" hidden="0" customHeight="1">
      <x:c r="A23" s="97" t="str">
        <x:v>US-12</x:v>
      </x:c>
      <x:c r="B23" s="97" t="str">
        <x:v>T-12.4</x:v>
      </x:c>
      <x:c r="C23" s="98" t="str">
        <x:v>Synthétiser tableau p50/p95, qualité /5 par 3 testeurs, RAM/disque/GPU</x:v>
      </x:c>
      <x:c r="D23" s="98" t="str">
        <x:v>Mell</x:v>
      </x:c>
      <x:c r="E23" s="99" t="n">
        <x:v>1.5</x:v>
      </x:c>
      <x:c r="F23" s="99" t="n">
        <x:v>1.5</x:v>
      </x:c>
      <x:c r="G23" s="98" t="str">
        <x:v>Todo</x:v>
      </x:c>
    </x:row>
    <x:row r="24" ht="24" hidden="0" customHeight="1">
      <x:c r="A24" s="100" t="str">
        <x:v>US-12</x:v>
      </x:c>
      <x:c r="B24" s="100" t="str">
        <x:v>T-12.5</x:v>
      </x:c>
      <x:c r="C24" s="101" t="str">
        <x:v>Rédiger ADR-0003 : contexte, options, décision, justification, conséquences</x:v>
      </x:c>
      <x:c r="D24" s="101" t="str">
        <x:v>Quentin</x:v>
      </x:c>
      <x:c r="E24" s="102" t="n">
        <x:v>2</x:v>
      </x:c>
      <x:c r="F24" s="102" t="n">
        <x:v>2</x:v>
      </x:c>
      <x:c r="G24" s="101" t="str">
        <x:v>Todo</x:v>
      </x:c>
    </x:row>
    <x:row r="25" ht="24" hidden="0" customHeight="1">
      <x:c r="A25" s="100" t="str">
        <x:v>US-13</x:v>
      </x:c>
      <x:c r="B25" s="100" t="str">
        <x:v>T-13.1</x:v>
      </x:c>
      <x:c r="C25" s="101" t="str">
        <x:v>Configurer le modèle retenu dans Ollama et documenter la commande d'installation</x:v>
      </x:c>
      <x:c r="D25" s="101" t="str">
        <x:v>Evan</x:v>
      </x:c>
      <x:c r="E25" s="102" t="n">
        <x:v>1.5</x:v>
      </x:c>
      <x:c r="F25" s="102" t="n">
        <x:v>1.5</x:v>
      </x:c>
      <x:c r="G25" s="101" t="str">
        <x:v>Todo</x:v>
      </x:c>
    </x:row>
    <x:row r="26" ht="24" hidden="0" customHeight="1">
      <x:c r="A26" s="100" t="str">
        <x:v>US-13</x:v>
      </x:c>
      <x:c r="B26" s="100" t="str">
        <x:v>T-13.2</x:v>
      </x:c>
      <x:c r="C26" s="101" t="str">
        <x:v>Adapter le prompt de génération QCM pour un modèle plus léger sans dégrader la qualité</x:v>
      </x:c>
      <x:c r="D26" s="101" t="str">
        <x:v>Maxime</x:v>
      </x:c>
      <x:c r="E26" s="102" t="n">
        <x:v>1.5</x:v>
      </x:c>
      <x:c r="F26" s="102" t="n">
        <x:v>1.5</x:v>
      </x:c>
      <x:c r="G26" s="101" t="str">
        <x:v>Todo</x:v>
      </x:c>
    </x:row>
    <x:row r="27" ht="24" hidden="0" customHeight="1">
      <x:c r="A27" s="100" t="str">
        <x:v>US-13</x:v>
      </x:c>
      <x:c r="B27" s="100" t="str">
        <x:v>T-13.3</x:v>
      </x:c>
      <x:c r="C27" s="101" t="str">
        <x:v>Modifier le service LLM : modèle par défaut, fallback, timeout et message d'erreur clair</x:v>
      </x:c>
      <x:c r="D27" s="101" t="str">
        <x:v>Meddy</x:v>
      </x:c>
      <x:c r="E27" s="102" t="n">
        <x:v>2</x:v>
      </x:c>
      <x:c r="F27" s="102" t="n">
        <x:v>2</x:v>
      </x:c>
      <x:c r="G27" s="101" t="str">
        <x:v>Todo</x:v>
      </x:c>
    </x:row>
    <x:row r="28" ht="24" hidden="0" customHeight="1">
      <x:c r="A28" s="100" t="str">
        <x:v>US-13</x:v>
      </x:c>
      <x:c r="B28" s="100" t="str">
        <x:v>T-13.4</x:v>
      </x:c>
      <x:c r="C28" s="101" t="str">
        <x:v>Mesurer post-action : p50/p95 après bascule et preuve p95 ≤ 15 s ou justification</x:v>
      </x:c>
      <x:c r="D28" s="101" t="str">
        <x:v>Mouhamed</x:v>
      </x:c>
      <x:c r="E28" s="102" t="n">
        <x:v>1.5</x:v>
      </x:c>
      <x:c r="F28" s="102" t="n">
        <x:v>1.5</x:v>
      </x:c>
      <x:c r="G28" s="101" t="str">
        <x:v>Todo</x:v>
      </x:c>
    </x:row>
    <x:row r="29" ht="24" hidden="0" customHeight="1">
      <x:c r="A29" s="103" t="str">
        <x:v>US-11</x:v>
      </x:c>
      <x:c r="B29" s="103" t="str">
        <x:v>T-11.1</x:v>
      </x:c>
      <x:c r="C29" s="104" t="str">
        <x:v>Ajouter loader + message rassurant pendant génération : « génération en cours, cela peut prendre quelques secondes »</x:v>
      </x:c>
      <x:c r="D29" s="104" t="str">
        <x:v>Mell</x:v>
      </x:c>
      <x:c r="E29" s="105" t="n">
        <x:v>2</x:v>
      </x:c>
      <x:c r="F29" s="105" t="n">
        <x:v>2</x:v>
      </x:c>
      <x:c r="G29" s="104" t="str">
        <x:v>Todo</x:v>
      </x:c>
    </x:row>
    <x:row r="30" ht="15" hidden="0" customHeight="1">
      <x:c r="A30" s="106" t="str">
        <x:v>US-11</x:v>
      </x:c>
      <x:c r="B30" s="107" t="str">
        <x:v>T-11.2</x:v>
      </x:c>
      <x:c r="C30" s="108" t="str">
        <x:v>Gérer timeout &gt; 20 s avec feedback utilisateur et bouton relancer</x:v>
      </x:c>
      <x:c r="D30" s="107" t="str">
        <x:v>Quentin</x:v>
      </x:c>
      <x:c r="E30" s="106" t="n">
        <x:v>1</x:v>
      </x:c>
      <x:c r="F30" s="106" t="n">
        <x:v>1</x:v>
      </x:c>
      <x:c r="G30" s="107" t="str">
        <x:v>Todo</x:v>
      </x:c>
    </x:row>
    <x:row r="31" ht="26.399999618530273" hidden="0" customHeight="1">
      <x:c r="A31" s="109" t="str">
        <x:v>US-01</x:v>
      </x:c>
      <x:c r="B31" s="109" t="str">
        <x:v>T-01.1</x:v>
      </x:c>
      <x:c r="C31" s="109" t="str">
        <x:v>Mettre en place auth email/mot de passe : modèle utilisateur, route signup, validation minimale</x:v>
      </x:c>
      <x:c r="D31" s="109" t="str">
        <x:v>Meddy</x:v>
      </x:c>
      <x:c r="E31" s="109" t="n">
        <x:v>2</x:v>
      </x:c>
      <x:c r="F31" s="109" t="n">
        <x:v>2</x:v>
      </x:c>
      <x:c r="G31" s="109" t="str">
        <x:v>Todo</x:v>
      </x:c>
    </x:row>
    <x:row r="32" ht="26.399999618530273" hidden="0" customHeight="1">
      <x:c r="A32" s="110" t="str">
        <x:v>US-02</x:v>
      </x:c>
      <x:c r="B32" s="109" t="str">
        <x:v>T-02.1</x:v>
      </x:c>
      <x:c r="C32" s="109" t="str">
        <x:v>Créer upload cours : PDF ≤ 5 Mo ou texte ≥ 200 caractères, stockage et validation erreurs</x:v>
      </x:c>
      <x:c r="D32" s="109" t="str">
        <x:v>Evan</x:v>
      </x:c>
      <x:c r="E32" s="109" t="n">
        <x:v>2.5</x:v>
      </x:c>
      <x:c r="F32" s="109" t="n">
        <x:v>2.5</x:v>
      </x:c>
      <x:c r="G32" s="109" t="str">
        <x:v>Todo</x:v>
      </x:c>
    </x:row>
    <x:row r="33" ht="26.399999618530273" hidden="0" customHeight="1">
      <x:c r="A33" s="111" t="str">
        <x:v>US-02</x:v>
      </x:c>
      <x:c r="B33" s="112" t="str">
        <x:v>T-02.2</x:v>
      </x:c>
      <x:c r="C33" s="109" t="str">
        <x:v>Smoke test end-to-end : compte → cours → génération quiz optimisée</x:v>
      </x:c>
      <x:c r="D33" s="109" t="str">
        <x:v>Maxime</x:v>
      </x:c>
      <x:c r="E33" s="109" t="n">
        <x:v>1</x:v>
      </x:c>
      <x:c r="F33" s="109" t="n">
        <x:v>1</x:v>
      </x:c>
      <x:c r="G33" s="109" t="str">
        <x:v>Todo</x:v>
      </x:c>
    </x:row>
    <x:row r="34" ht="39.599998474121094" hidden="0" customHeight="1">
      <x:c r="A34" s="113" t="str">
        <x:v>TOTAL</x:v>
      </x:c>
      <x:c r="B34" s="112"/>
      <x:c r="C34" s="109" t="str">
        <x:v>24 h estimées · capacité 24 h-pers · aucune marge : si blocage, sortir US-01/US-02 partiel et conserver J2 obligatoire.</x:v>
      </x:c>
      <x:c r="D34" s="109"/>
      <x:c r="E34" s="109" t="n">
        <x:f>SUM(E20:E33)</x:f>
        <x:v>24</x:v>
      </x:c>
      <x:c r="F34" s="109" t="n">
        <x:f>SUM(F20:F33)</x:f>
        <x:v>24</x:v>
      </x:c>
      <x:c r="G34" s="109"/>
    </x:row>
    <x:row r="35">
      <x:c r="A35" s="17"/>
      <x:c r="B35" s="9"/>
    </x:row>
    <x:row r="36">
      <x:c r="A36" s="173" t="str">
        <x:v>RÉ-ESTIMATION J2</x:v>
      </x:c>
      <x:c r="B36" s="174"/>
      <x:c r="C36" s="175"/>
      <x:c r="D36" s="175"/>
      <x:c r="E36" s="175"/>
    </x:row>
    <x:row r="37">
      <x:c r="A37" s="153" t="str">
        <x:v>Story</x:v>
      </x:c>
      <x:c r="B37" s="153" t="str">
        <x:v>Avant J2</x:v>
      </x:c>
      <x:c r="C37" s="153" t="str">
        <x:v>Après J2</x:v>
      </x:c>
      <x:c r="D37" s="153" t="str">
        <x:v>Impact</x:v>
      </x:c>
      <x:c r="E37" s="153" t="str">
        <x:v>Décision</x:v>
      </x:c>
    </x:row>
    <x:row r="38">
      <x:c r="A38" s="86" t="str">
        <x:v>US-03 Génération quiz</x:v>
      </x:c>
      <x:c r="B38" s="86" t="n">
        <x:v>8</x:v>
      </x:c>
      <x:c r="C38" s="86" t="n">
        <x:v>13</x:v>
      </x:c>
      <x:c r="D38" s="86" t="str">
        <x:v>+5 SP</x:v>
      </x:c>
      <x:c r="E38" s="86" t="str">
        <x:v>Ré-estimée : contrainte p95 ≤ 15 s + qualité ≥ 3/5</x:v>
      </x:c>
    </x:row>
    <x:row r="39">
      <x:c r="A39" s="86" t="str">
        <x:v>US-11 Indicateur d'attente</x:v>
      </x:c>
      <x:c r="B39" s="86" t="str">
        <x:v>n.c.</x:v>
      </x:c>
      <x:c r="C39" s="86" t="n">
        <x:v>3</x:v>
      </x:c>
      <x:c r="D39" s="86" t="str">
        <x:v>+3 SP</x:v>
      </x:c>
      <x:c r="E39" s="86" t="str">
        <x:v>Ajout MUST J2 pour éviter l'abandon utilisateur</x:v>
      </x:c>
    </x:row>
    <x:row r="40">
      <x:c r="A40" s="86" t="str">
        <x:v>US-12 Benchmark 3 modèles</x:v>
      </x:c>
      <x:c r="B40" s="86" t="str">
        <x:v>n.c.</x:v>
      </x:c>
      <x:c r="C40" s="86" t="n">
        <x:v>5</x:v>
      </x:c>
      <x:c r="D40" s="86" t="str">
        <x:v>+5 SP</x:v>
      </x:c>
      <x:c r="E40" s="86" t="str">
        <x:v>Ajout MUST J2, livrable demandé</x:v>
      </x:c>
    </x:row>
    <x:row r="41">
      <x:c r="A41" s="86" t="str">
        <x:v>US-13 Bascule modèle / justification</x:v>
      </x:c>
      <x:c r="B41" s="86" t="str">
        <x:v>n.c.</x:v>
      </x:c>
      <x:c r="C41" s="86" t="n">
        <x:v>5</x:v>
      </x:c>
      <x:c r="D41" s="86" t="str">
        <x:v>+5 SP</x:v>
      </x:c>
      <x:c r="E41" s="86" t="str">
        <x:v>Ajout MUST J2, code ou justification</x:v>
      </x:c>
    </x:row>
    <x:row r="42">
      <x:c r="A42" s="86" t="str">
        <x:v>US-07/08/09 Enseignant J1</x:v>
      </x:c>
      <x:c r="B42" s="86" t="n">
        <x:v>18</x:v>
      </x:c>
      <x:c r="C42" s="86" t="n">
        <x:v>18</x:v>
      </x:c>
      <x:c r="D42" s="86" t="str">
        <x:v>0 SP</x:v>
      </x:c>
      <x:c r="E42" s="86" t="str">
        <x:v>Conservées en SHOULD Release 1 si capacité après MVP</x:v>
      </x:c>
    </x:row>
  </x:sheetData>
  <x:dataValidations count="1">
    <x:dataValidation type="list" sqref="G20:G33">
      <x:formula1>"Todo,In Progress,Blocked,Done"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hidden="0" customWidth="1"/>
    <x:col min="2" max="2" width="18" hidden="0" customWidth="1"/>
    <x:col min="3" max="3" width="18" hidden="0" customWidth="1"/>
    <x:col min="4" max="4" width="14" hidden="0" customWidth="1"/>
    <x:col min="5" max="5" width="48" hidden="0" customWidth="1"/>
  </x:cols>
  <x:sheetData>
    <x:row r="1">
      <x:c r="A1" s="13" t="str">
        <x:v>BURNDOWN : SPRINT 1 — J2</x:v>
      </x:c>
    </x:row>
    <x:row r="2">
      <x:c r="A2" s="9" t="str">
        <x:v>Trajectoire des heures restantes mardi 14h00 → 18h00 · capacité 24 h-pers</x:v>
      </x:c>
    </x:row>
    <x:row r="4">
      <x:c r="A4" s="3" t="inlineStr">
        <x:is>
          <x:t xml:space="preserve">💡 BURNDOWN vs BURNUP</x:t>
        </x:is>
      </x:c>
      <x:c r="B4" s="9" t="inlineStr">
        <x:is>
          <x:t xml:space="preserve">Le BURNDOWN trace les h-pers restantes au cours du sprint (descendant). Burnup = livré cumulé (montant). Pour 1 sprint court, burndown est plus actionnable.</x:t>
        </x:is>
      </x:c>
    </x:row>
    <x:row r="5">
      <x:c r="A5" s="3" t="inlineStr">
        <x:is>
          <x:t xml:space="preserve">📐 LECTURE</x:t>
        </x:is>
      </x:c>
      <x:c r="B5" s="9" t="inlineStr">
        <x:is>
          <x:t xml:space="preserve">Idéal : descente linéaire de 16h (estim) à 0h. Réel : à reporter à chaque daily (ou heure ronde). Si Réel &gt; Idéal → alerte capacité.</x:t>
        </x:is>
      </x:c>
    </x:row>
    <x:row r="7" ht="15" hidden="0" customHeight="1">
      <x:c r="A7" s="96" t="str">
        <x:v>Moment du sprint</x:v>
      </x:c>
      <x:c r="B7" s="96" t="str">
        <x:v>Heure restante (idéal)</x:v>
      </x:c>
      <x:c r="C7" s="96" t="str">
        <x:v>Heure restante (réel)</x:v>
      </x:c>
      <x:c r="D7" s="96" t="str">
        <x:v>Δ réel-idéal</x:v>
      </x:c>
      <x:c r="E7" s="96" t="str">
        <x:v>Commentaire</x:v>
      </x:c>
    </x:row>
    <x:row r="8" ht="15" hidden="0" customHeight="1">
      <x:c r="A8" s="150" t="str">
        <x:v>14h00, Début sprint</x:v>
      </x:c>
      <x:c r="B8" s="151" t="n">
        <x:v>24</x:v>
      </x:c>
      <x:c r="C8" s="151" t="n">
        <x:v>24</x:v>
      </x:c>
      <x:c r="D8" s="151" t="n">
        <x:f>IF(ISNUMBER(C8),C8-B8,"")</x:f>
        <x:v>0</x:v>
      </x:c>
      <x:c r="E8" s="152" t="str">
        <x:v>Toutes tâches J2 + MVP en Todo</x:v>
      </x:c>
    </x:row>
    <x:row r="9" ht="15" hidden="0" customHeight="1">
      <x:c r="A9" s="150" t="str">
        <x:v>15h00, Point benchmark</x:v>
      </x:c>
      <x:c r="B9" s="151" t="n">
        <x:v>18</x:v>
      </x:c>
      <x:c r="C9" s="151" t="str">
        <x:v>[à compléter]</x:v>
      </x:c>
      <x:c r="D9" s="151" t="str">
        <x:f>IF(ISNUMBER(C9),C9-B9,"")</x:f>
      </x:c>
      <x:c r="E9" s="152" t="str">
        <x:v>Script prêt, premiers runs réalisés</x:v>
      </x:c>
    </x:row>
    <x:row r="10" ht="15" hidden="0" customHeight="1">
      <x:c r="A10" s="150" t="str">
        <x:v>16h00, Décision modèle</x:v>
      </x:c>
      <x:c r="B10" s="151" t="n">
        <x:v>12</x:v>
      </x:c>
      <x:c r="C10" s="151" t="str">
        <x:v>[à compléter]</x:v>
      </x:c>
      <x:c r="D10" s="151" t="str">
        <x:f>IF(ISNUMBER(C10),C10-B10,"")</x:f>
      </x:c>
      <x:c r="E10" s="152" t="str">
        <x:v>ADR en cours, bascule ou justification décidée</x:v>
      </x:c>
    </x:row>
    <x:row r="11" ht="15" hidden="0" customHeight="1">
      <x:c r="A11" s="150" t="str">
        <x:v>17h00, Intégration/UX</x:v>
      </x:c>
      <x:c r="B11" s="151" t="n">
        <x:v>6</x:v>
      </x:c>
      <x:c r="C11" s="151" t="str">
        <x:v>[à compléter]</x:v>
      </x:c>
      <x:c r="D11" s="151" t="str">
        <x:f>IF(ISNUMBER(C11),C11-B11,"")</x:f>
      </x:c>
      <x:c r="E11" s="152" t="str">
        <x:v>Loader + config modèle + smoke test</x:v>
      </x:c>
    </x:row>
    <x:row r="12" ht="15" hidden="0" customHeight="1">
      <x:c r="A12" s="150" t="str">
        <x:v>18h00, Review</x:v>
      </x:c>
      <x:c r="B12" s="151" t="n">
        <x:v>0</x:v>
      </x:c>
      <x:c r="C12" s="151" t="str">
        <x:v>[à compléter]</x:v>
      </x:c>
      <x:c r="D12" s="151" t="str">
        <x:f>IF(ISNUMBER(C12),C12-B12,"")</x:f>
      </x:c>
      <x:c r="E12" s="152" t="str">
        <x:v>Benchmark, ADR, preuve p95 et backlog mis à jour</x:v>
      </x:c>
    </x:row>
    <x:row r="15">
      <x:c r="A15" s="3" t="inlineStr">
        <x:is>
          <x:t xml:space="preserve">📊 INSÉRER UN GRAPHIQUE</x:t>
        </x:is>
      </x:c>
      <x:c r="B15" s="7" t="inlineStr">
        <x:is>
          <x:t xml:space="preserve">Sélectionnez les colonnes Moment / Idéal / Réel puis Excel : Insertion &gt; Graphique en courbes. 2 séries (Idéal en pointillés, Réel en plein). L'écart visualise la dérive du sprint.</x:t>
        </x:is>
      </x:c>
    </x:row>
    <x:row r="17">
      <x:c r="A17" s="3" t="inlineStr">
        <x:is>
          <x:t xml:space="preserve">📈 LECTURE DE LA COURBE</x:t>
        </x:is>
      </x:c>
    </x:row>
    <x:row r="18">
      <x:c r="A18" s="16" t="inlineStr">
        <x:is>
          <x:t xml:space="preserve">Réel ≈ Idéal</x:t>
        </x:is>
      </x:c>
      <x:c r="B18" s="9" t="inlineStr">
        <x:is>
          <x:t xml:space="preserve">Sprint sous contrôle, vélocité conforme à l'estimation</x:t>
        </x:is>
      </x:c>
    </x:row>
    <x:row r="19">
      <x:c r="A19" s="32" t="inlineStr">
        <x:is>
          <x:t xml:space="preserve">Réel &gt; Idéal</x:t>
        </x:is>
      </x:c>
      <x:c r="B19" s="9" t="inlineStr">
        <x:is>
          <x:t xml:space="preserve">Retard, réfléchir en daily à un re-planning ou retrait d'une tâche non critique</x:t>
        </x:is>
      </x:c>
    </x:row>
    <x:row r="20">
      <x:c r="A20" s="16" t="inlineStr">
        <x:is>
          <x:t xml:space="preserve">Réel &lt; Idéal</x:t>
        </x:is>
      </x:c>
      <x:c r="B20" s="9" t="inlineStr">
        <x:is>
          <x:t xml:space="preserve">Avance, possibilité de tirer une tâche supplémentaire du Product Backlog</x:t>
        </x:is>
      </x:c>
    </x:row>
    <x:row r="21">
      <x:c r="A21" s="17" t="inlineStr">
        <x:is>
          <x:t xml:space="preserve">Courbe plate</x:t>
        </x:is>
      </x:c>
      <x:c r="B21" s="9" t="inlineStr">
        <x:is>
          <x:t xml:space="preserve">Tâches bloquées, escalader immédiatement avec le Scrum Master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" customWidth="1"/>
    <x:col min="2" max="2" width="50" customWidth="1"/>
    <x:col min="3" max="3" width="25" customWidth="1"/>
    <x:col min="4" max="4" width="40" customWidth="1"/>
  </x:cols>
  <x:sheetData>
    <x:row r="1">
      <x:c r="B1" s="86"/>
      <x:c r="C1" s="86"/>
      <x:c r="D1" s="86"/>
    </x:row>
    <x:row r="2">
      <x:c r="B2" s="2" t="inlineStr">
        <x:is>
          <x:t xml:space="preserve">✅ Grille d'auto-évaluation</x:t>
        </x:is>
      </x:c>
    </x:row>
    <x:row r="3">
      <x:c r="B3" s="9" t="inlineStr">
        <x:is>
          <x:t xml:space="preserve">À remplir par l'équipe avant soumission au PO</x:t>
        </x:is>
      </x:c>
    </x:row>
    <x:row r="5">
      <x:c r="A5" s="18" t="n"/>
      <x:c r="B5" s="79" t="str">
        <x:v>Critère qualité</x:v>
      </x:c>
      <x:c r="C5" s="79" t="str">
        <x:v>Auto-évaluation</x:v>
      </x:c>
      <x:c r="D5" s="144" t="str">
        <x:v>Commentaire / preuve</x:v>
      </x:c>
    </x:row>
    <x:row r="6" ht="30" customHeight="1">
      <x:c r="B6" s="35" t="str">
        <x:v>Métadonnées sprint complètes</x:v>
      </x:c>
      <x:c r="C6" s="36" t="str">
        <x:v>☒ Oui   ☐ Partiel   ☐ Non</x:v>
      </x:c>
      <x:c r="D6" s="35" t="str">
        <x:v>Sprint 1 J2, équipe 6, capacité 24 h-pers, objectif clair.</x:v>
      </x:c>
    </x:row>
    <x:row r="7" ht="30" customHeight="1">
      <x:c r="B7" s="35" t="str">
        <x:v>Stories engagées tirées du Product Backlog</x:v>
      </x:c>
      <x:c r="C7" s="36" t="str">
        <x:v>☒ Oui   ☐ Partiel   ☐ Non</x:v>
      </x:c>
      <x:c r="D7" s="35" t="str">
        <x:v>US-12, US-13, US-11, US-01, US-02.</x:v>
      </x:c>
    </x:row>
    <x:row r="8" ht="30" customHeight="1">
      <x:c r="B8" s="35" t="str">
        <x:v>Tâches atomiques 1-3h</x:v>
      </x:c>
      <x:c r="C8" s="36" t="str">
        <x:v>☒ Oui   ☐ Partiel   ☐ Non</x:v>
      </x:c>
      <x:c r="D8" s="35" t="str">
        <x:v>14 tâches entre 1h et 2,5h.</x:v>
      </x:c>
    </x:row>
    <x:row r="9" ht="30" customHeight="1">
      <x:c r="B9" s="35" t="str">
        <x:v>Tâches investigation et bascule J2 ajoutées</x:v>
      </x:c>
      <x:c r="C9" s="36" t="str">
        <x:v>☒ Oui   ☐ Partiel   ☐ Non</x:v>
      </x:c>
      <x:c r="D9" s="35" t="str">
        <x:v>Benchmark, ADR, bascule modèle, mesure post-action.</x:v>
      </x:c>
    </x:row>
    <x:row r="10" ht="30" customHeight="1">
      <x:c r="B10" s="35" t="str">
        <x:v>Ré-estimation avant/après J2 visible</x:v>
      </x:c>
      <x:c r="C10" s="36" t="str">
        <x:v>☒ Oui   ☐ Partiel   ☐ Non</x:v>
      </x:c>
      <x:c r="D10" s="35" t="str">
        <x:v>Table de ré-estimation sous le sprint backlog.</x:v>
      </x:c>
    </x:row>
    <x:row r="11" ht="30" customHeight="1">
      <x:c r="B11" s="35" t="str">
        <x:v>Chaque tâche assignée</x:v>
      </x:c>
      <x:c r="C11" s="36" t="str">
        <x:v>☒ Oui   ☐ Partiel   ☐ Non</x:v>
      </x:c>
      <x:c r="D11" s="35" t="str">
        <x:v>Assignations réparties entre les 6 membres.</x:v>
      </x:c>
    </x:row>
    <x:row r="12" ht="30" customHeight="1">
      <x:c r="B12" s="35" t="str">
        <x:v>Estimation totale ≤ capacité</x:v>
      </x:c>
      <x:c r="C12" s="36" t="str">
        <x:v>☒ Oui   ☐ Partiel   ☐ Non</x:v>
      </x:c>
      <x:c r="D12" s="35" t="str">
        <x:v>24 h estimées pour 24 h capacité ; marge nulle signalée.</x:v>
      </x:c>
    </x:row>
    <x:row r="13" ht="30" customHeight="1">
      <x:c r="B13" s="35" t="str">
        <x:v>Burndown initialisé</x:v>
      </x:c>
      <x:c r="C13" s="36" t="str">
        <x:v>☒ Oui   ☐ Partiel   ☐ Non</x:v>
      </x:c>
      <x:c r="D13" s="35" t="str">
        <x:v>Idéal de 24 h à 0 h sur 5 points.</x:v>
      </x:c>
    </x:row>
    <x:row r="14" ht="30" customHeight="1">
      <x:c r="B14" s="35" t="str">
        <x:v>Validation collective/PO</x:v>
      </x:c>
      <x:c r="C14" s="36" t="str">
        <x:v>☐ Oui   ☒ Partiel   ☐ Non</x:v>
      </x:c>
      <x:c r="D14" s="35" t="str">
        <x:v>À confirmer lors du Sprint Planning J2.</x:v>
      </x:c>
    </x:row>
    <x:row r="15" ht="30" customHeight="1">
      <x:c r="B15" s="35" t="inlineStr">
        <x:is>
          <x:t xml:space="preserve">Le Sprint Backlog a été co-construit en Sprint Planning (toutes les voix entendues)</x:t>
        </x:is>
      </x:c>
      <x:c r="C15" s="36" t="inlineStr">
        <x:is>
          <x:t xml:space="preserve">☐ Oui   ☐ Partiel   ☐ Non</x:t>
        </x:is>
      </x:c>
      <x:c r="D15" s="35" t="inlineStr">
        <x:is>
          <x:t xml:space="preserve"/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  <x:col min="3" max="3" width="55" hidden="0" customWidth="1"/>
  </x:cols>
  <x:sheetData>
    <x:row r="1">
      <x:c r="A1" s="153" t="str">
        <x:v>Source</x:v>
      </x:c>
      <x:c r="B1" s="153" t="str">
        <x:v>URL</x:v>
      </x:c>
      <x:c r="C1" s="153" t="str">
        <x:v>Usage</x:v>
      </x:c>
    </x:row>
    <x:row r="2">
      <x:c r="A2" t="str">
        <x:v>Perturbation J1 Produit / Scope</x:v>
      </x:c>
      <x:c r="B2" t="str">
        <x:v>https://mohamedelafrit.com/teaching/APOCALIPSSI/pages/perturbations/j1-produit.php</x:v>
      </x:c>
      <x:c r="C2" t="str">
        <x:v>Ajout persona Mme Lefèvre, stories enseignant, MoSCoW</x:v>
      </x:c>
    </x:row>
    <x:row r="3">
      <x:c r="A3" t="str">
        <x:v>Perturbation J2 Technique</x:v>
      </x:c>
      <x:c r="B3" t="str">
        <x:v>https://mohamedelafrit.com/teaching/APOCALIPSSI/pages/perturbations/j2-technique.php</x:v>
      </x:c>
      <x:c r="C3" t="str">
        <x:v>Benchmark 3 modèles, ADR, bascule modèle, Sprint Backlog mis à jour</x:v>
      </x:c>
    </x:row>
    <x:row r="4">
      <x:c r="A4" t="str">
        <x:v>Rappels J2</x:v>
      </x:c>
      <x:c r="B4" t="str">
        <x:v>https://mohamedelafrit.com/teaching/APOCALIPSSI/pages/rappels/j2.php</x:v>
      </x:c>
      <x:c r="C4" t="str">
        <x:v>Process décision : mesurer, comparer, ADR, re-estimer</x:v>
      </x:c>
    </x:row>
    <x:row r="5">
      <x:c r="A5" t="str">
        <x:v>Modèles APOCAL'IPSSI</x:v>
      </x:c>
      <x:c r="B5" t="str">
        <x:v>https://mohamedelafrit.com/teaching/APOCALIPSSI/pages/modeles.php</x:v>
      </x:c>
      <x:c r="C5" t="str">
        <x:v>Structure officielle des artefacts</x:v>
      </x:c>
    </x:row>
  </x:sheetData>
  <x:pageMargins left="0.7" right="0.7" top="0.75" bottom="0.75" header="0.3" footer="0.3"/>
</x:worksheet>
</file>