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ddy\Desktop\"/>
    </mc:Choice>
  </mc:AlternateContent>
  <xr:revisionPtr revIDLastSave="0" documentId="13_ncr:1_{F9425CF5-C2D8-4926-8379-A1DC06C9EC99}" xr6:coauthVersionLast="47" xr6:coauthVersionMax="47" xr10:uidLastSave="{00000000-0000-0000-0000-000000000000}"/>
  <bookViews>
    <workbookView xWindow="-105" yWindow="0" windowWidth="14610" windowHeight="15585" activeTab="2" xr2:uid="{00000000-000D-0000-FFFF-FFFF00000000}"/>
  </bookViews>
  <sheets>
    <sheet name="Mode d'emploi" sheetId="1" r:id="rId1"/>
    <sheet name="Burndown (sprint)" sheetId="2" r:id="rId2"/>
    <sheet name="Burnup (projet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8" i="3"/>
  <c r="B9" i="3"/>
  <c r="B7" i="3"/>
  <c r="C11" i="3"/>
  <c r="C10" i="3"/>
  <c r="C9" i="3"/>
  <c r="C8" i="3"/>
  <c r="C7" i="3"/>
  <c r="B17" i="3"/>
  <c r="B15" i="3"/>
  <c r="B14" i="3"/>
  <c r="B25" i="2"/>
  <c r="B23" i="2"/>
  <c r="B22" i="2"/>
  <c r="B19" i="2"/>
  <c r="B24" i="2" s="1"/>
  <c r="B18" i="2"/>
  <c r="B17" i="2"/>
  <c r="B16" i="2"/>
  <c r="B15" i="2"/>
  <c r="B14" i="2"/>
  <c r="B13" i="2"/>
  <c r="B12" i="2"/>
  <c r="B11" i="2"/>
  <c r="B10" i="2"/>
  <c r="B9" i="2"/>
  <c r="B19" i="3" l="1"/>
  <c r="B18" i="3" l="1"/>
  <c r="B16" i="3"/>
</calcChain>
</file>

<file path=xl/sharedStrings.xml><?xml version="1.0" encoding="utf-8"?>
<sst xmlns="http://schemas.openxmlformats.org/spreadsheetml/2006/main" count="57" uniqueCount="57">
  <si>
    <t>Modèle : Burndown de sprint &amp; Burnup de projet</t>
  </si>
  <si>
    <t>APOCAL'IPSSI 2026 · Outil de pilotage (perturbation J4)</t>
  </si>
  <si>
    <t>À quoi ça sert</t>
  </si>
  <si>
    <t>Le BURNDOWN suit le reste à faire d'un sprint : la courbe doit descendre vers 0.</t>
  </si>
  <si>
    <t>Le BURNUP suit le réalisé cumulé du projet face au périmètre total (qui peut monter quand une perturbation ajoute du travail).</t>
  </si>
  <si>
    <t>Comment l'utiliser</t>
  </si>
  <si>
    <t>1. Onglet « Burndown (sprint) » : renseignez le total de points et la durée du sprint. La colonne « Idéal » se calcule toute seule. Chaque soir, saisissez le reste à faire dans la colonne « Réel ».</t>
  </si>
  <si>
    <t>2. Onglet « Burnup (projet) » : à chaque fin de sprint, notez le périmètre total et le réalisé cumulé, et l'événement (perturbation) qui fait éventuellement monter le périmètre.</t>
  </si>
  <si>
    <t>3. Les graphiques et les indicateurs se recalculent automatiquement.</t>
  </si>
  <si>
    <t>4. Les cellules JAUNES sont à remplir. Les chiffres pré-remplis sont l'exemple SkillHub (le même que sur la page J4) : remplacez-les par les vôtres.</t>
  </si>
  <si>
    <t>Comment lire les courbes</t>
  </si>
  <si>
    <t>Burndown : si la courbe RÉELLE passe AU-DESSUS de la ligne idéale, le sprint est en retard (il reste plus de travail que prévu). On réagit tôt (entraide, replanification).</t>
  </si>
  <si>
    <t>Burnup : quand le périmètre monte d'un cran (perturbation), l'écart avec le réalisé se creuse et la date de fin recule. C'est chiffré, pas ressenti.</t>
  </si>
  <si>
    <t>Indicateurs de pilotage (calculés automatiquement)</t>
  </si>
  <si>
    <t>Vélocité moyenne (points par sprint), reste à faire, et estimation des sprints restants = reste ÷ vélocité. À montrer au jury pour prouver que vous pilotez.</t>
  </si>
  <si>
    <t>Auteurs : Mohamed Amine EL AFRIT &amp; Sayf BEJAOUI · Licence CC BY-NC-SA 4.0</t>
  </si>
  <si>
    <t>Burndown de sprint</t>
  </si>
  <si>
    <t>Reste à faire jour par jour. Objectif : atteindre 0 en fin de sprint.</t>
  </si>
  <si>
    <t>Paramètres</t>
  </si>
  <si>
    <t>Total de points engagés</t>
  </si>
  <si>
    <t>Durée du sprint (jours)</t>
  </si>
  <si>
    <t>Jour</t>
  </si>
  <si>
    <t>Idéal</t>
  </si>
  <si>
    <t>Réel (reste à faire)</t>
  </si>
  <si>
    <t>Indicateurs</t>
  </si>
  <si>
    <t>Reste à faire (dernier jour)</t>
  </si>
  <si>
    <t>Points terminés</t>
  </si>
  <si>
    <t>Idéal au dernier jour</t>
  </si>
  <si>
    <t>% terminé</t>
  </si>
  <si>
    <t>Burnup de projet</t>
  </si>
  <si>
    <t>Périmètre total vs réalisé cumulé, sprint par sprint.</t>
  </si>
  <si>
    <t>Sprint</t>
  </si>
  <si>
    <t>Périmètre total</t>
  </si>
  <si>
    <t>Réalisé (cumulé)</t>
  </si>
  <si>
    <t>Événement (perturbation, ajout de périmètre…)</t>
  </si>
  <si>
    <t>S0</t>
  </si>
  <si>
    <t>S1</t>
  </si>
  <si>
    <t>S2</t>
  </si>
  <si>
    <t>S3</t>
  </si>
  <si>
    <t>S4</t>
  </si>
  <si>
    <t>S5</t>
  </si>
  <si>
    <t>S6</t>
  </si>
  <si>
    <t>Indicateurs de pilotage</t>
  </si>
  <si>
    <t>Sprints réalisés</t>
  </si>
  <si>
    <t>Vélocité moyenne (pts/sprint)</t>
  </si>
  <si>
    <t>Périmètre total actuel</t>
  </si>
  <si>
    <t>Réalisé actuel</t>
  </si>
  <si>
    <t>Reste à réaliser</t>
  </si>
  <si>
    <t>Sprints restants (estimation)</t>
  </si>
  <si>
    <t>Astuce : les indicateurs pointent sur la dernière ligne (S6). Si vous ajoutez des sprints, insérez les lignes AU-DESSUS de la dernière pour que les plages suivent.</t>
  </si>
  <si>
    <t>Lancement du site : Départ</t>
  </si>
  <si>
    <t>Mme Lefèvre / Product VB / Fiche personas/ Story Map / Release Planing</t>
  </si>
  <si>
    <t xml:space="preserve"> Product Backlog / Sprint Backlog </t>
  </si>
  <si>
    <t>BenchMark / ADR / Bascule du modèle / Bascule du modèle</t>
  </si>
  <si>
    <t>Prompt injection / Note de sécurité / Note sécurité globale / Product Backlog / RGPD Politique de rétention</t>
  </si>
  <si>
    <t>Personas / Product vision board / release planning</t>
  </si>
  <si>
    <t xml:space="preserve">Story map / Product backlog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</si>
</sst>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E1B4B"/>
      <name val="Calibri"/>
    </font>
    <font>
      <i/>
      <sz val="11"/>
      <color rgb="FF64748B"/>
      <name val="Calibri"/>
    </font>
    <font>
      <b/>
      <sz val="12"/>
      <color rgb="FF4F46E5"/>
      <name val="Calibri"/>
    </font>
    <font>
      <sz val="10.5"/>
      <name val="Calibri"/>
    </font>
    <font>
      <i/>
      <sz val="9"/>
      <color rgb="FF94A3B8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/>
    <xf numFmtId="0" fontId="6" fillId="2" borderId="1" xfId="0" applyFont="1" applyFill="1" applyBorder="1" applyAlignment="1">
      <alignment horizontal="center"/>
    </xf>
    <xf numFmtId="0" fontId="6" fillId="0" borderId="0" xfId="0" applyFont="1"/>
    <xf numFmtId="9" fontId="0" fillId="0" borderId="1" xfId="0" applyNumberFormat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Burndown — reste à faire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'Burndown (sprint)'!$B$8</c:f>
              <c:strCache>
                <c:ptCount val="1"/>
                <c:pt idx="0">
                  <c:v>Idéal</c:v>
                </c:pt>
              </c:strCache>
            </c:strRef>
          </c:tx>
          <c:spPr>
            <a:ln w="19050"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numRef>
              <c:f>'Burndown (sprint)'!$A$9:$A$19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'Burndown (sprint)'!$B$9:$B$19</c:f>
              <c:numCache>
                <c:formatCode>General</c:formatCode>
                <c:ptCount val="11"/>
                <c:pt idx="0">
                  <c:v>24</c:v>
                </c:pt>
                <c:pt idx="1">
                  <c:v>21.6</c:v>
                </c:pt>
                <c:pt idx="2">
                  <c:v>19.2</c:v>
                </c:pt>
                <c:pt idx="3">
                  <c:v>16.8</c:v>
                </c:pt>
                <c:pt idx="4">
                  <c:v>14.4</c:v>
                </c:pt>
                <c:pt idx="5">
                  <c:v>12</c:v>
                </c:pt>
                <c:pt idx="6">
                  <c:v>9.6</c:v>
                </c:pt>
                <c:pt idx="7">
                  <c:v>7.2</c:v>
                </c:pt>
                <c:pt idx="8">
                  <c:v>4.8</c:v>
                </c:pt>
                <c:pt idx="9">
                  <c:v>2.4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20-470D-A865-75509662C21D}"/>
            </c:ext>
          </c:extLst>
        </c:ser>
        <c:ser>
          <c:idx val="1"/>
          <c:order val="1"/>
          <c:tx>
            <c:strRef>
              <c:f>'Burndown (sprint)'!$C$8</c:f>
              <c:strCache>
                <c:ptCount val="1"/>
                <c:pt idx="0">
                  <c:v>Réel (reste à faire)</c:v>
                </c:pt>
              </c:strCache>
            </c:strRef>
          </c:tx>
          <c:spPr>
            <a:ln w="28575">
              <a:solidFill>
                <a:srgbClr val="4F46E5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'Burndown (sprint)'!$A$9:$A$19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'Burndown (sprint)'!$C$9:$C$19</c:f>
              <c:numCache>
                <c:formatCode>General</c:formatCode>
                <c:ptCount val="11"/>
                <c:pt idx="0">
                  <c:v>24</c:v>
                </c:pt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11</c:v>
                </c:pt>
                <c:pt idx="7">
                  <c:v>8</c:v>
                </c:pt>
                <c:pt idx="8">
                  <c:v>7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20-470D-A865-75509662C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Jour du sprint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Reste à faire (pts)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Burnup — périmètre vs réalisé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'Burnup (projet)'!$B$4</c:f>
              <c:strCache>
                <c:ptCount val="1"/>
                <c:pt idx="0">
                  <c:v>Périmètre total</c:v>
                </c:pt>
              </c:strCache>
            </c:strRef>
          </c:tx>
          <c:spPr>
            <a:ln w="28575">
              <a:solidFill>
                <a:srgbClr val="DC2626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strRef>
              <c:f>'Burnup (projet)'!$A$5:$A$11</c:f>
              <c:strCache>
                <c:ptCount val="7"/>
                <c:pt idx="0">
                  <c:v>S0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  <c:pt idx="6">
                  <c:v>S6</c:v>
                </c:pt>
              </c:strCache>
            </c:strRef>
          </c:cat>
          <c:val>
            <c:numRef>
              <c:f>'Burnup (projet)'!$B$5:$B$11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  <c:pt idx="5">
                  <c:v>150</c:v>
                </c:pt>
                <c:pt idx="6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97-45E9-B6C2-91DAD1E2B1C7}"/>
            </c:ext>
          </c:extLst>
        </c:ser>
        <c:ser>
          <c:idx val="1"/>
          <c:order val="1"/>
          <c:tx>
            <c:strRef>
              <c:f>'Burnup (projet)'!$C$4</c:f>
              <c:strCache>
                <c:ptCount val="1"/>
                <c:pt idx="0">
                  <c:v>Réalisé (cumulé)</c:v>
                </c:pt>
              </c:strCache>
            </c:strRef>
          </c:tx>
          <c:spPr>
            <a:ln w="28575">
              <a:solidFill>
                <a:srgbClr val="0F766E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strRef>
              <c:f>'Burnup (projet)'!$A$5:$A$11</c:f>
              <c:strCache>
                <c:ptCount val="7"/>
                <c:pt idx="0">
                  <c:v>S0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  <c:pt idx="4">
                  <c:v>S4</c:v>
                </c:pt>
                <c:pt idx="5">
                  <c:v>S5</c:v>
                </c:pt>
                <c:pt idx="6">
                  <c:v>S6</c:v>
                </c:pt>
              </c:strCache>
            </c:strRef>
          </c:cat>
          <c:val>
            <c:numRef>
              <c:f>'Burnup (projet)'!$C$5:$C$11</c:f>
              <c:numCache>
                <c:formatCode>General</c:formatCode>
                <c:ptCount val="7"/>
                <c:pt idx="0">
                  <c:v>0</c:v>
                </c:pt>
                <c:pt idx="1">
                  <c:v>20</c:v>
                </c:pt>
                <c:pt idx="2">
                  <c:v>35</c:v>
                </c:pt>
                <c:pt idx="3">
                  <c:v>65</c:v>
                </c:pt>
                <c:pt idx="4">
                  <c:v>76</c:v>
                </c:pt>
                <c:pt idx="5">
                  <c:v>96</c:v>
                </c:pt>
                <c:pt idx="6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97-45E9-B6C2-91DAD1E2B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Sprint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Points de story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2"/>
  <sheetViews>
    <sheetView showGridLines="0" workbookViewId="0"/>
  </sheetViews>
  <sheetFormatPr baseColWidth="10" defaultColWidth="9.140625" defaultRowHeight="15" x14ac:dyDescent="0.25"/>
  <cols>
    <col min="1" max="1" width="4" customWidth="1"/>
    <col min="2" max="2" width="110" customWidth="1"/>
  </cols>
  <sheetData>
    <row r="2" spans="2:2" ht="21" x14ac:dyDescent="0.35">
      <c r="B2" s="1" t="s">
        <v>0</v>
      </c>
    </row>
    <row r="3" spans="2:2" x14ac:dyDescent="0.25">
      <c r="B3" s="2" t="s">
        <v>1</v>
      </c>
    </row>
    <row r="5" spans="2:2" ht="15.75" x14ac:dyDescent="0.25">
      <c r="B5" s="3" t="s">
        <v>2</v>
      </c>
    </row>
    <row r="6" spans="2:2" x14ac:dyDescent="0.25">
      <c r="B6" s="4" t="s">
        <v>3</v>
      </c>
    </row>
    <row r="7" spans="2:2" x14ac:dyDescent="0.25">
      <c r="B7" s="4" t="s">
        <v>4</v>
      </c>
    </row>
    <row r="9" spans="2:2" ht="15.75" x14ac:dyDescent="0.25">
      <c r="B9" s="3" t="s">
        <v>5</v>
      </c>
    </row>
    <row r="10" spans="2:2" ht="28.5" x14ac:dyDescent="0.25">
      <c r="B10" s="4" t="s">
        <v>6</v>
      </c>
    </row>
    <row r="11" spans="2:2" ht="28.5" x14ac:dyDescent="0.25">
      <c r="B11" s="4" t="s">
        <v>7</v>
      </c>
    </row>
    <row r="12" spans="2:2" x14ac:dyDescent="0.25">
      <c r="B12" s="4" t="s">
        <v>8</v>
      </c>
    </row>
    <row r="13" spans="2:2" ht="28.5" x14ac:dyDescent="0.25">
      <c r="B13" s="4" t="s">
        <v>9</v>
      </c>
    </row>
    <row r="15" spans="2:2" ht="15.75" x14ac:dyDescent="0.25">
      <c r="B15" s="3" t="s">
        <v>10</v>
      </c>
    </row>
    <row r="16" spans="2:2" ht="28.5" x14ac:dyDescent="0.25">
      <c r="B16" s="4" t="s">
        <v>11</v>
      </c>
    </row>
    <row r="17" spans="2:2" ht="28.5" x14ac:dyDescent="0.25">
      <c r="B17" s="4" t="s">
        <v>12</v>
      </c>
    </row>
    <row r="19" spans="2:2" ht="15.75" x14ac:dyDescent="0.25">
      <c r="B19" s="3" t="s">
        <v>13</v>
      </c>
    </row>
    <row r="20" spans="2:2" ht="28.5" x14ac:dyDescent="0.25">
      <c r="B20" s="4" t="s">
        <v>14</v>
      </c>
    </row>
    <row r="22" spans="2:2" x14ac:dyDescent="0.25">
      <c r="B22" s="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showGridLines="0" workbookViewId="0">
      <pane ySplit="8" topLeftCell="A9" activePane="bottomLeft" state="frozen"/>
      <selection pane="bottomLeft" activeCell="C20" sqref="C20"/>
    </sheetView>
  </sheetViews>
  <sheetFormatPr baseColWidth="10" defaultColWidth="9.140625" defaultRowHeight="15" x14ac:dyDescent="0.25"/>
  <cols>
    <col min="1" max="1" width="57.5703125" bestFit="1" customWidth="1"/>
    <col min="2" max="2" width="10" customWidth="1"/>
    <col min="3" max="3" width="22" customWidth="1"/>
    <col min="4" max="4" width="3" customWidth="1"/>
    <col min="5" max="5" width="12" customWidth="1"/>
  </cols>
  <sheetData>
    <row r="1" spans="1:3" ht="21" x14ac:dyDescent="0.35">
      <c r="A1" s="1" t="s">
        <v>16</v>
      </c>
    </row>
    <row r="2" spans="1:3" x14ac:dyDescent="0.25">
      <c r="A2" s="2" t="s">
        <v>17</v>
      </c>
    </row>
    <row r="4" spans="1:3" ht="15.75" x14ac:dyDescent="0.25">
      <c r="A4" s="3" t="s">
        <v>18</v>
      </c>
    </row>
    <row r="5" spans="1:3" x14ac:dyDescent="0.25">
      <c r="A5" t="s">
        <v>19</v>
      </c>
      <c r="B5" s="6">
        <v>24</v>
      </c>
    </row>
    <row r="6" spans="1:3" x14ac:dyDescent="0.25">
      <c r="A6" t="s">
        <v>20</v>
      </c>
      <c r="B6" s="6">
        <v>10</v>
      </c>
    </row>
    <row r="8" spans="1:3" x14ac:dyDescent="0.25">
      <c r="A8" s="7" t="s">
        <v>21</v>
      </c>
      <c r="B8" s="7" t="s">
        <v>22</v>
      </c>
      <c r="C8" s="7" t="s">
        <v>23</v>
      </c>
    </row>
    <row r="9" spans="1:3" x14ac:dyDescent="0.25">
      <c r="A9" s="8">
        <v>0</v>
      </c>
      <c r="B9" s="9">
        <f t="shared" ref="B9:B19" si="0">ROUND($B$5*($B$6-A9)/$B$6,1)</f>
        <v>24</v>
      </c>
      <c r="C9" s="10">
        <v>24</v>
      </c>
    </row>
    <row r="10" spans="1:3" x14ac:dyDescent="0.25">
      <c r="A10" s="8">
        <v>1</v>
      </c>
      <c r="B10" s="9">
        <f t="shared" si="0"/>
        <v>21.6</v>
      </c>
      <c r="C10" s="10">
        <v>20</v>
      </c>
    </row>
    <row r="11" spans="1:3" x14ac:dyDescent="0.25">
      <c r="A11" s="8">
        <v>2</v>
      </c>
      <c r="B11" s="9">
        <f t="shared" si="0"/>
        <v>19.2</v>
      </c>
      <c r="C11" s="10">
        <v>18</v>
      </c>
    </row>
    <row r="12" spans="1:3" x14ac:dyDescent="0.25">
      <c r="A12" s="8">
        <v>3</v>
      </c>
      <c r="B12" s="9">
        <f t="shared" si="0"/>
        <v>16.8</v>
      </c>
      <c r="C12" s="10">
        <v>16</v>
      </c>
    </row>
    <row r="13" spans="1:3" x14ac:dyDescent="0.25">
      <c r="A13" s="8">
        <v>4</v>
      </c>
      <c r="B13" s="9">
        <f t="shared" si="0"/>
        <v>14.4</v>
      </c>
      <c r="C13" s="10">
        <v>15</v>
      </c>
    </row>
    <row r="14" spans="1:3" x14ac:dyDescent="0.25">
      <c r="A14" s="8">
        <v>5</v>
      </c>
      <c r="B14" s="9">
        <f t="shared" si="0"/>
        <v>12</v>
      </c>
      <c r="C14" s="10">
        <v>14</v>
      </c>
    </row>
    <row r="15" spans="1:3" x14ac:dyDescent="0.25">
      <c r="A15" s="8">
        <v>6</v>
      </c>
      <c r="B15" s="9">
        <f t="shared" si="0"/>
        <v>9.6</v>
      </c>
      <c r="C15" s="10">
        <v>11</v>
      </c>
    </row>
    <row r="16" spans="1:3" x14ac:dyDescent="0.25">
      <c r="A16" s="8">
        <v>7</v>
      </c>
      <c r="B16" s="9">
        <f t="shared" si="0"/>
        <v>7.2</v>
      </c>
      <c r="C16" s="10">
        <v>8</v>
      </c>
    </row>
    <row r="17" spans="1:3" x14ac:dyDescent="0.25">
      <c r="A17" s="8">
        <v>8</v>
      </c>
      <c r="B17" s="9">
        <f t="shared" si="0"/>
        <v>4.8</v>
      </c>
      <c r="C17" s="10">
        <v>7</v>
      </c>
    </row>
    <row r="18" spans="1:3" x14ac:dyDescent="0.25">
      <c r="A18" s="8">
        <v>9</v>
      </c>
      <c r="B18" s="9">
        <f t="shared" si="0"/>
        <v>2.4</v>
      </c>
      <c r="C18" s="10">
        <v>3</v>
      </c>
    </row>
    <row r="19" spans="1:3" x14ac:dyDescent="0.25">
      <c r="A19" s="8">
        <v>10</v>
      </c>
      <c r="B19" s="9">
        <f t="shared" si="0"/>
        <v>0</v>
      </c>
      <c r="C19" s="10">
        <v>0</v>
      </c>
    </row>
    <row r="21" spans="1:3" ht="15.75" x14ac:dyDescent="0.25">
      <c r="A21" s="3" t="s">
        <v>24</v>
      </c>
    </row>
    <row r="22" spans="1:3" x14ac:dyDescent="0.25">
      <c r="A22" s="11" t="s">
        <v>25</v>
      </c>
      <c r="B22" s="8">
        <f>C19</f>
        <v>0</v>
      </c>
    </row>
    <row r="23" spans="1:3" x14ac:dyDescent="0.25">
      <c r="A23" s="11" t="s">
        <v>26</v>
      </c>
      <c r="B23" s="8">
        <f>B5-C19</f>
        <v>24</v>
      </c>
    </row>
    <row r="24" spans="1:3" x14ac:dyDescent="0.25">
      <c r="A24" s="11" t="s">
        <v>27</v>
      </c>
      <c r="B24" s="8">
        <f>B19</f>
        <v>0</v>
      </c>
    </row>
    <row r="25" spans="1:3" x14ac:dyDescent="0.25">
      <c r="A25" s="11" t="s">
        <v>28</v>
      </c>
      <c r="B25" s="12">
        <f>(B5-C19)/B5</f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showGridLines="0" tabSelected="1" workbookViewId="0">
      <pane ySplit="4" topLeftCell="A5" activePane="bottomLeft" state="frozen"/>
      <selection pane="bottomLeft" activeCell="B12" sqref="B12"/>
    </sheetView>
  </sheetViews>
  <sheetFormatPr baseColWidth="10" defaultColWidth="9.140625" defaultRowHeight="15" x14ac:dyDescent="0.25"/>
  <cols>
    <col min="1" max="1" width="9" customWidth="1"/>
    <col min="2" max="2" width="15" customWidth="1"/>
    <col min="3" max="3" width="16" customWidth="1"/>
    <col min="4" max="4" width="46" customWidth="1"/>
    <col min="5" max="5" width="3" customWidth="1"/>
    <col min="6" max="6" width="12" customWidth="1"/>
  </cols>
  <sheetData>
    <row r="1" spans="1:4" ht="21" x14ac:dyDescent="0.35">
      <c r="A1" s="1" t="s">
        <v>29</v>
      </c>
    </row>
    <row r="2" spans="1:4" x14ac:dyDescent="0.25">
      <c r="A2" s="2" t="s">
        <v>30</v>
      </c>
    </row>
    <row r="4" spans="1:4" x14ac:dyDescent="0.25">
      <c r="A4" s="7" t="s">
        <v>31</v>
      </c>
      <c r="B4" s="7" t="s">
        <v>32</v>
      </c>
      <c r="C4" s="7" t="s">
        <v>33</v>
      </c>
      <c r="D4" s="7" t="s">
        <v>34</v>
      </c>
    </row>
    <row r="5" spans="1:4" x14ac:dyDescent="0.25">
      <c r="A5" s="8" t="s">
        <v>35</v>
      </c>
      <c r="B5" s="10">
        <v>100</v>
      </c>
      <c r="C5" s="10">
        <v>0</v>
      </c>
      <c r="D5" s="13" t="s">
        <v>50</v>
      </c>
    </row>
    <row r="6" spans="1:4" ht="30" x14ac:dyDescent="0.25">
      <c r="A6" s="8" t="s">
        <v>36</v>
      </c>
      <c r="B6" s="10">
        <v>100</v>
      </c>
      <c r="C6" s="10">
        <v>20</v>
      </c>
      <c r="D6" s="13" t="s">
        <v>51</v>
      </c>
    </row>
    <row r="7" spans="1:4" x14ac:dyDescent="0.25">
      <c r="A7" s="8" t="s">
        <v>37</v>
      </c>
      <c r="B7" s="10">
        <f>130</f>
        <v>130</v>
      </c>
      <c r="C7" s="10">
        <f>C6+15</f>
        <v>35</v>
      </c>
      <c r="D7" s="13" t="s">
        <v>52</v>
      </c>
    </row>
    <row r="8" spans="1:4" ht="30" x14ac:dyDescent="0.25">
      <c r="A8" s="8" t="s">
        <v>38</v>
      </c>
      <c r="B8" s="10">
        <f>130</f>
        <v>130</v>
      </c>
      <c r="C8" s="10">
        <f>C7+30</f>
        <v>65</v>
      </c>
      <c r="D8" s="13" t="s">
        <v>53</v>
      </c>
    </row>
    <row r="9" spans="1:4" ht="45" x14ac:dyDescent="0.25">
      <c r="A9" s="8" t="s">
        <v>39</v>
      </c>
      <c r="B9" s="10">
        <f>130</f>
        <v>130</v>
      </c>
      <c r="C9" s="10">
        <f>C8+11</f>
        <v>76</v>
      </c>
      <c r="D9" s="13" t="s">
        <v>54</v>
      </c>
    </row>
    <row r="10" spans="1:4" ht="30" x14ac:dyDescent="0.25">
      <c r="A10" s="8" t="s">
        <v>40</v>
      </c>
      <c r="B10" s="10">
        <f>150</f>
        <v>150</v>
      </c>
      <c r="C10" s="10">
        <f>C9+20</f>
        <v>96</v>
      </c>
      <c r="D10" s="13" t="s">
        <v>55</v>
      </c>
    </row>
    <row r="11" spans="1:4" x14ac:dyDescent="0.25">
      <c r="A11" s="8" t="s">
        <v>41</v>
      </c>
      <c r="B11" s="10">
        <v>150</v>
      </c>
      <c r="C11" s="10">
        <f>C10+32</f>
        <v>128</v>
      </c>
      <c r="D11" s="13" t="s">
        <v>56</v>
      </c>
    </row>
    <row r="13" spans="1:4" ht="15.75" x14ac:dyDescent="0.25">
      <c r="A13" s="3" t="s">
        <v>42</v>
      </c>
    </row>
    <row r="14" spans="1:4" x14ac:dyDescent="0.25">
      <c r="A14" s="11" t="s">
        <v>43</v>
      </c>
      <c r="B14" s="8">
        <f>COUNTA(A5:A11)-1</f>
        <v>6</v>
      </c>
    </row>
    <row r="15" spans="1:4" x14ac:dyDescent="0.25">
      <c r="A15" s="11" t="s">
        <v>44</v>
      </c>
      <c r="B15" s="8">
        <f>ROUND(C11/(COUNTA(A5:A11)-1),1)</f>
        <v>21.3</v>
      </c>
    </row>
    <row r="16" spans="1:4" x14ac:dyDescent="0.25">
      <c r="A16" s="11" t="s">
        <v>45</v>
      </c>
      <c r="B16" s="8">
        <f>B11</f>
        <v>150</v>
      </c>
    </row>
    <row r="17" spans="1:2" x14ac:dyDescent="0.25">
      <c r="A17" s="11" t="s">
        <v>46</v>
      </c>
      <c r="B17" s="8">
        <f>C11</f>
        <v>128</v>
      </c>
    </row>
    <row r="18" spans="1:2" x14ac:dyDescent="0.25">
      <c r="A18" s="11" t="s">
        <v>47</v>
      </c>
      <c r="B18" s="8">
        <f>B11-C11</f>
        <v>22</v>
      </c>
    </row>
    <row r="19" spans="1:2" x14ac:dyDescent="0.25">
      <c r="A19" s="11" t="s">
        <v>48</v>
      </c>
      <c r="B19" s="8">
        <f>ROUND((B11-C11)/(C11/(COUNTA(A5:A11)-1)),1)</f>
        <v>1</v>
      </c>
    </row>
    <row r="21" spans="1:2" x14ac:dyDescent="0.25">
      <c r="A21" s="5" t="s">
        <v>49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Mode d'emploi</vt:lpstr>
      <vt:lpstr>Burndown (sprint)</vt:lpstr>
      <vt:lpstr>Burnup (projet)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Meddy GARCIA</cp:lastModifiedBy>
  <dcterms:created xsi:type="dcterms:W3CDTF">2026-07-02T07:53:38Z</dcterms:created>
  <dcterms:modified xsi:type="dcterms:W3CDTF">2026-07-02T14:05:49Z</dcterms:modified>
</cp:coreProperties>
</file>